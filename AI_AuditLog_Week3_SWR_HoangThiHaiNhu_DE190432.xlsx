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ef139619454a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. Metadata &amp; Summary" sheetId="1" r:id="R33ca133b31c6452c"/>
    <x:sheet xmlns:r="http://schemas.openxmlformats.org/officeDocument/2006/relationships" name="2. Detailed Audit Log" sheetId="2" r:id="R8399e88796224204"/>
    <x:sheet xmlns:r="http://schemas.openxmlformats.org/officeDocument/2006/relationships" name="3. Hallucination Detection" sheetId="3" r:id="R17cebca1c64d4c10"/>
    <x:sheet xmlns:r="http://schemas.openxmlformats.org/officeDocument/2006/relationships" name="4. Self-Assessment Checklist" sheetId="4" r:id="R1da6e5c22e354c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0.0%"/>
  </x:numFmts>
  <x:fonts count="19">
    <x:font>
      <x:sz val="11"/>
      <x:color theme="1"/>
      <x:name val="Calibri"/>
    </x:font>
    <x:font>
      <x:b/>
      <x:sz val="16"/>
      <x:color rgb="2E75B6"/>
      <x:name val="Calibri"/>
    </x:font>
    <x:font>
      <x:b/>
      <x:sz val="14"/>
      <x:color rgb="2E75B6"/>
      <x:name val="Calibri"/>
    </x:font>
    <x:font>
      <x:b/>
      <x:sz val="11"/>
      <x:name val="Calibri"/>
    </x:font>
    <x:font>
      <x:i/>
      <x:sz val="9"/>
      <x:color rgb="666666"/>
      <x:name val="Calibri"/>
    </x:font>
    <x:font>
      <x:b/>
      <x:sz val="11"/>
      <x:color rgb="FFFFFF"/>
      <x:name val="Calibri"/>
    </x:font>
    <x:font>
      <x:i/>
      <x:sz val="10"/>
      <x:color rgb="666666"/>
      <x:name val="Calibri"/>
    </x:font>
    <x:font>
      <x:b/>
      <x:sz val="16"/>
      <x:color rgb="FF0000"/>
      <x:name val="Calibri"/>
    </x:font>
    <x:font>
      <x:b/>
      <x:i/>
      <x:sz val="10"/>
      <x:color rgb="FF0000"/>
      <x:name val="Calibri"/>
    </x:font>
    <x:font>
      <x:sz val="10"/>
      <x:name val="Calibri"/>
    </x:font>
    <x:font>
      <x:b/>
      <x:sz val="12"/>
      <x:color rgb="FF0000"/>
      <x:name val="Calibri"/>
    </x:font>
    <x:font>
      <x:sz val="11"/>
      <x:color rgb="FF0000"/>
      <x:name val="Calibri"/>
    </x:font>
    <x:font>
      <x:i/>
      <x:sz val="10"/>
      <x:name val="Calibri"/>
    </x:font>
    <x:font>
      <x:b/>
      <x:sz val="14"/>
      <x:color rgb="1F4E79"/>
      <x:name val="Calibri"/>
    </x:font>
    <x:font>
      <x:i/>
      <x:sz val="11"/>
      <x:color rgb="666666"/>
      <x:name val="Calibri"/>
    </x:font>
    <x:font>
      <x:b/>
      <x:i/>
      <x:sz val="10"/>
      <x:color rgb="C00000"/>
      <x:name val="Calibri"/>
    </x:font>
    <x:font>
      <x:b/>
      <x:sz val="11"/>
      <x:color rgb="C00000"/>
      <x:name val="Calibri"/>
    </x:font>
    <x:font>
      <x:b/>
      <x:sz val="11"/>
      <x:color theme="1"/>
      <x:name val="Calibri"/>
    </x:font>
    <x:font>
      <x:b/>
      <x:sz val="14"/>
      <x:color rgb="FFFFFF"/>
      <x:name val="Calibri"/>
    </x:font>
  </x:fonts>
  <x:fills count="9">
    <x:fill>
      <x:patternFill patternType="none"/>
    </x:fill>
    <x:fill>
      <x:patternFill patternType="gray125"/>
    </x:fill>
    <x:fill>
      <x:patternFill patternType="solid">
        <x:fgColor rgb="FFFF00"/>
      </x:patternFill>
    </x:fill>
    <x:fill>
      <x:patternFill patternType="solid">
        <x:fgColor rgb="2E75B6"/>
      </x:patternFill>
    </x:fill>
    <x:fill>
      <x:patternFill patternType="solid">
        <x:fgColor rgb="F2F2F2"/>
      </x:patternFill>
    </x:fill>
    <x:fill>
      <x:patternFill patternType="solid">
        <x:fgColor rgb="D9EAF7"/>
      </x:patternFill>
    </x:fill>
    <x:fill>
      <x:patternFill patternType="solid">
        <x:fgColor rgb="2E75B6"/>
      </x:patternFill>
    </x:fill>
    <x:fill>
      <x:patternFill patternType="solid">
        <x:fgColor rgb="FFFFFF"/>
      </x:patternFill>
    </x:fill>
    <x:fill>
      <x:patternFill patternType="solid">
        <x:fgColor rgb="EAF2F8"/>
      </x:patternFill>
    </x:fill>
  </x:fills>
  <x:borders count="4">
    <x:border/>
    <x:border>
      <x:left style="thin">
        <x:color rgb="CCCCCC"/>
      </x:left>
      <x:right style="thin">
        <x:color rgb="CCCCCC"/>
      </x:right>
      <x:top style="thin">
        <x:color rgb="CCCCCC"/>
      </x:top>
      <x:bottom style="thin">
        <x:color rgb="CCCCCC"/>
      </x:bottom>
    </x:border>
    <x:border/>
    <x:border>
      <x:left style="thin">
        <x:color rgb="CCCCCC"/>
      </x:left>
      <x:right style="thin">
        <x:color rgb="CCCCCC"/>
      </x:right>
      <x:top style="thin">
        <x:color rgb="CCCCCC"/>
      </x:top>
      <x:bottom style="thin">
        <x:color rgb="CCCCCC"/>
      </x:bottom>
    </x:border>
  </x:borders>
  <x:cellStyleXfs count="1">
    <x:xf numFmtId="0" fontId="0" fillId="0" borderId="0"/>
  </x:cellStyleXfs>
  <x:cellXfs count="248">
    <x:xf numFmtId="0" fontId="0" fillId="0" borderId="0" xfId="0"/>
    <x:xf numFmtId="0" fontId="2" fillId="0" borderId="0" xfId="0" applyFont="1"/>
    <x:xf numFmtId="0" fontId="3" fillId="0" borderId="0" xfId="0" applyFont="1"/>
    <x:xf numFmtId="0" fontId="0" fillId="2" borderId="0" xfId="0" applyFill="1"/>
    <x:xf numFmtId="164" fontId="0" fillId="0" borderId="0" xfId="0" applyNumberFormat="1"/>
    <x:xf numFmtId="0" fontId="4" fillId="0" borderId="0" xfId="0" applyFont="1"/>
    <x:xf numFmtId="0" fontId="5" fillId="3" borderId="1" xfId="0" applyFont="1" applyFill="1" applyBorder="1" applyAlignment="1">
      <x:alignment horizontal="center" vertical="center" wrapText="1"/>
    </x:xf>
    <x:xf numFmtId="0" fontId="0" fillId="0" borderId="1" xfId="0" applyBorder="1" applyAlignment="1">
      <x:alignment horizontal="left" vertical="top" wrapText="1"/>
    </x:xf>
    <x:xf numFmtId="0" fontId="0" fillId="2" borderId="1" xfId="0" applyFill="1" applyBorder="1" applyAlignment="1">
      <x:alignment horizontal="center" vertical="center" wrapText="1"/>
    </x:xf>
    <x:xf numFmtId="0" fontId="0" fillId="0" borderId="1" xfId="0" applyBorder="1" applyAlignment="1">
      <x:alignment horizontal="center" vertical="center" wrapText="1"/>
    </x:xf>
    <x:xf numFmtId="0" fontId="3" fillId="4" borderId="1" xfId="0" applyFont="1" applyFill="1" applyBorder="1" applyAlignment="1">
      <x:alignment horizontal="left" vertical="top" wrapText="1"/>
    </x:xf>
    <x:xf numFmtId="0" fontId="5" fillId="3" borderId="1" xfId="0" applyFont="1" applyFill="1" applyBorder="1" applyAlignment="1">
      <x:alignment horizontal="left" vertical="top" wrapText="1"/>
    </x:xf>
    <x:xf numFmtId="0" fontId="9" fillId="0" borderId="1" xfId="0" applyFont="1" applyBorder="1" applyAlignment="1">
      <x:alignment horizontal="center" vertical="center" wrapText="1"/>
    </x:xf>
    <x:xf numFmtId="0" fontId="9" fillId="0" borderId="1" xfId="0" applyFont="1" applyBorder="1" applyAlignment="1">
      <x:alignment horizontal="left" vertical="top" wrapText="1"/>
    </x:xf>
    <x:xf numFmtId="0" fontId="10" fillId="0" borderId="0" xfId="0" applyFont="1"/>
    <x:xf numFmtId="0" fontId="11" fillId="0" borderId="0" xfId="0" applyFont="1"/>
    <x:xf numFmtId="0" fontId="12" fillId="0" borderId="0" xfId="0" applyFont="1"/>
    <x:xf numFmtId="0" fontId="3" fillId="4" borderId="1" xfId="0" applyFont="1" applyFill="1" applyBorder="1" applyAlignment="1">
      <x:alignment horizontal="center" vertical="center" wrapText="1"/>
    </x:xf>
    <x:xf numFmtId="0" fontId="1" fillId="0" borderId="0" xfId="0" applyFont="1" applyAlignment="1">
      <x:alignment horizontal="center" vertical="center" wrapText="1"/>
    </x:xf>
    <x:xf numFmtId="0" fontId="0" fillId="0" borderId="0" xfId="0"/>
    <x:xf numFmtId="0" fontId="6" fillId="0" borderId="0" xfId="0" applyFont="1" applyAlignment="1">
      <x:alignment horizontal="left" vertical="top" wrapText="1"/>
    </x:xf>
    <x:xf numFmtId="0" fontId="8" fillId="0" borderId="0" xfId="0" applyFont="1" applyAlignment="1">
      <x:alignment horizontal="center" vertical="center" wrapText="1"/>
    </x:xf>
    <x:xf numFmtId="0" fontId="7" fillId="0" borderId="0" xfId="0" applyFont="1" applyAlignment="1">
      <x:alignment horizontal="center" vertical="center" wrapText="1"/>
    </x:xf>
    <x:xf numFmtId="0" fontId="6" fillId="0" borderId="0" xfId="0" applyFont="1" applyAlignment="1">
      <x:alignment horizontal="center" vertical="center" wrapText="1"/>
    </x:xf>
    <x:xf numFmtId="0" fontId="0" fillId="0" borderId="2" xfId="0" applyNumberFormat="1" applyFont="1" applyFill="1" applyBorder="1"/>
    <x:xf numFmtId="0" fontId="2" fillId="0" borderId="2" xfId="0" applyNumberFormat="1" applyFont="1" applyFill="1" applyBorder="1"/>
    <x:xf numFmtId="0" fontId="3" fillId="0" borderId="2" xfId="0" applyNumberFormat="1" applyFont="1" applyFill="1" applyBorder="1"/>
    <x:xf numFmtId="0" fontId="0" fillId="2" borderId="2" xfId="0" applyNumberFormat="1" applyFont="1" applyFill="1" applyBorder="1"/>
    <x:xf numFmtId="164" fontId="0" fillId="0" borderId="2" xfId="0" applyNumberFormat="1" applyFont="1" applyFill="1" applyBorder="1"/>
    <x:xf numFmtId="0" fontId="4" fillId="0" borderId="2" xfId="0" applyNumberFormat="1" applyFont="1" applyFill="1" applyBorder="1"/>
    <x:xf numFmtId="0" fontId="5" fillId="3" borderId="3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 applyAlignment="1">
      <x:alignment horizontal="left" vertical="top" wrapText="1"/>
    </x:xf>
    <x:xf numFmtId="0" fontId="0" fillId="2" borderId="3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left" vertical="top" wrapText="1"/>
    </x:xf>
    <x:xf numFmtId="0" fontId="5" fillId="3" borderId="3" xfId="0" applyNumberFormat="1" applyFont="1" applyFill="1" applyBorder="1" applyAlignment="1">
      <x:alignment horizontal="left" vertical="top" wrapText="1"/>
    </x:xf>
    <x:xf numFmtId="0" fontId="9" fillId="0" borderId="3" xfId="0" applyNumberFormat="1" applyFont="1" applyFill="1" applyBorder="1" applyAlignment="1">
      <x:alignment horizontal="center" vertical="center" wrapText="1"/>
    </x:xf>
    <x:xf numFmtId="0" fontId="9" fillId="0" borderId="3" xfId="0" applyNumberFormat="1" applyFont="1" applyFill="1" applyBorder="1" applyAlignment="1">
      <x:alignment horizontal="left" vertical="top" wrapText="1"/>
    </x:xf>
    <x:xf numFmtId="0" fontId="10" fillId="0" borderId="2" xfId="0" applyNumberFormat="1" applyFont="1" applyFill="1" applyBorder="1"/>
    <x:xf numFmtId="0" fontId="11" fillId="0" borderId="2" xfId="0" applyNumberFormat="1" applyFont="1" applyFill="1" applyBorder="1"/>
    <x:xf numFmtId="0" fontId="12" fillId="0" borderId="2" xfId="0" applyNumberFormat="1" applyFont="1" applyFill="1" applyBorder="1"/>
    <x:xf numFmtId="0" fontId="3" fillId="4" borderId="3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horizontal="center" vertical="center" wrapText="1"/>
    </x:xf>
    <x:xf numFmtId="0" fontId="6" fillId="0" borderId="2" xfId="0" applyNumberFormat="1" applyFont="1" applyFill="1" applyBorder="1" applyAlignment="1">
      <x:alignment horizontal="left" vertical="top" wrapText="1"/>
    </x:xf>
    <x:xf numFmtId="0" fontId="8" fillId="0" borderId="2" xfId="0" applyNumberFormat="1" applyFont="1" applyFill="1" applyBorder="1" applyAlignment="1">
      <x:alignment horizontal="center" vertical="center" wrapText="1"/>
    </x:xf>
    <x:xf numFmtId="0" fontId="7" fillId="0" borderId="2" xfId="0" applyNumberFormat="1" applyFont="1" applyFill="1" applyBorder="1" applyAlignment="1">
      <x:alignment horizontal="center" vertical="center" wrapText="1"/>
    </x:xf>
    <x:xf numFmtId="0" fontId="6" fillId="0" borderId="2" xfId="0" applyNumberFormat="1" applyFont="1" applyFill="1" applyBorder="1" applyAlignment="1">
      <x:alignment horizontal="center" vertical="center" wrapText="1"/>
    </x:xf>
    <x:xf numFmtId="0" fontId="13" fillId="0" borderId="0" xfId="0" applyNumberFormat="1" applyFont="1" applyFill="1" applyBorder="1" applyAlignment="1">
      <x:alignment horizontal="center" vertical="center" wrapText="1"/>
    </x:xf>
    <x:xf numFmtId="0" fontId="13" fillId="0" borderId="0" xfId="0" applyNumberFormat="1" applyFont="1" applyFill="1" applyBorder="1"/>
    <x:xf numFmtId="0" fontId="13" fillId="0" borderId="0" xfId="0" applyNumberFormat="1" applyFont="1" applyFill="1" applyBorder="1" applyAlignment="1">
      <x:alignment horizontal="center"/>
    </x:xf>
    <x:xf numFmtId="0" fontId="13" fillId="0" borderId="0" xfId="0" applyNumberFormat="1" applyFont="1" applyFill="1" applyBorder="1" applyAlignment="1">
      <x:alignment horizontal="center" vertical="center"/>
    </x:xf>
    <x:xf numFmtId="0" fontId="13" fillId="0" borderId="2" xfId="0" applyNumberFormat="1" applyFont="1" applyFill="1" applyBorder="1" applyAlignment="1">
      <x:alignment horizontal="center" vertical="center" wrapText="1"/>
    </x:xf>
    <x:xf numFmtId="0" fontId="13" fillId="0" borderId="2" xfId="0" applyNumberFormat="1" applyFont="1" applyFill="1" applyBorder="1"/>
    <x:xf numFmtId="0" fontId="13" fillId="0" borderId="2" xfId="0" applyNumberFormat="1" applyFont="1" applyFill="1" applyBorder="1" applyAlignment="1">
      <x:alignment horizontal="center"/>
    </x:xf>
    <x:xf numFmtId="0" fontId="13" fillId="0" borderId="2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 applyAlignment="1">
      <x:alignment horizontal="left" vertical="top" wrapText="1"/>
    </x:xf>
    <x:xf numFmtId="0" fontId="14" fillId="0" borderId="0" xfId="0" applyNumberFormat="1" applyFont="1" applyFill="1" applyBorder="1"/>
    <x:xf numFmtId="0" fontId="14" fillId="0" borderId="0" xfId="0" applyNumberFormat="1" applyFont="1" applyFill="1" applyBorder="1" applyAlignment="1">
      <x:alignment wrapText="1"/>
    </x:xf>
    <x:xf numFmtId="0" fontId="14" fillId="0" borderId="2" xfId="0" applyNumberFormat="1" applyFont="1" applyFill="1" applyBorder="1"/>
    <x:xf numFmtId="0" fontId="14" fillId="0" borderId="2" xfId="0" applyNumberFormat="1" applyFont="1" applyFill="1" applyBorder="1" applyAlignment="1">
      <x:alignment wrapText="1"/>
    </x:xf>
    <x:xf numFmtId="0" fontId="15" fillId="0" borderId="0" xfId="0" applyNumberFormat="1" applyFont="1" applyFill="1" applyBorder="1" applyAlignment="1">
      <x:alignment horizontal="center" vertical="center" wrapText="1"/>
    </x:xf>
    <x:xf numFmtId="0" fontId="16" fillId="0" borderId="0" xfId="0" applyNumberFormat="1" applyFont="1" applyFill="1" applyBorder="1"/>
    <x:xf numFmtId="0" fontId="16" fillId="0" borderId="0" xfId="0" applyNumberFormat="1" applyFont="1" applyFill="1" applyBorder="1" applyAlignment="1">
      <x:alignment wrapText="1"/>
    </x:xf>
    <x:xf numFmtId="0" fontId="15" fillId="0" borderId="2" xfId="0" applyNumberFormat="1" applyFont="1" applyFill="1" applyBorder="1" applyAlignment="1">
      <x:alignment horizontal="center" vertical="center" wrapText="1"/>
    </x:xf>
    <x:xf numFmtId="0" fontId="16" fillId="0" borderId="2" xfId="0" applyNumberFormat="1" applyFont="1" applyFill="1" applyBorder="1"/>
    <x:xf numFmtId="0" fontId="16" fillId="0" borderId="2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horizontal="center" vertical="center" wrapText="1"/>
    </x:xf>
    <x:xf numFmtId="0" fontId="2" fillId="5" borderId="0" xfId="0" applyNumberFormat="1" applyFont="1" applyFill="1" applyBorder="1"/>
    <x:xf numFmtId="0" fontId="0" fillId="5" borderId="0" xfId="0" applyNumberFormat="1" applyFont="1" applyFill="1" applyBorder="1"/>
    <x:xf numFmtId="0" fontId="17" fillId="5" borderId="0" xfId="0" applyNumberFormat="1" applyFont="1" applyFill="1" applyBorder="1"/>
    <x:xf numFmtId="0" fontId="2" fillId="5" borderId="0" xfId="0" applyNumberFormat="1" applyFont="1" applyFill="1" applyBorder="1" applyAlignment="1">
      <x:alignment horizontal="left"/>
    </x:xf>
    <x:xf numFmtId="0" fontId="17" fillId="5" borderId="0" xfId="0" applyNumberFormat="1" applyFont="1" applyFill="1" applyBorder="1" applyAlignment="1">
      <x:alignment horizontal="left"/>
    </x:xf>
    <x:xf numFmtId="0" fontId="2" fillId="5" borderId="2" xfId="0" applyNumberFormat="1" applyFont="1" applyFill="1" applyBorder="1"/>
    <x:xf numFmtId="0" fontId="0" fillId="5" borderId="2" xfId="0" applyNumberFormat="1" applyFont="1" applyFill="1" applyBorder="1"/>
    <x:xf numFmtId="0" fontId="17" fillId="5" borderId="2" xfId="0" applyNumberFormat="1" applyFont="1" applyFill="1" applyBorder="1"/>
    <x:xf numFmtId="0" fontId="2" fillId="5" borderId="2" xfId="0" applyNumberFormat="1" applyFont="1" applyFill="1" applyBorder="1" applyAlignment="1">
      <x:alignment horizontal="left"/>
    </x:xf>
    <x:xf numFmtId="0" fontId="17" fillId="5" borderId="2" xfId="0" applyNumberFormat="1" applyFont="1" applyFill="1" applyBorder="1" applyAlignment="1">
      <x:alignment horizontal="left"/>
    </x:xf>
    <x:xf numFmtId="0" fontId="5" fillId="6" borderId="1" xfId="0" applyNumberFormat="1" applyFont="1" applyFill="1" applyBorder="1" applyAlignment="1">
      <x:alignment horizontal="center" vertical="center" wrapText="1"/>
    </x:xf>
    <x:xf numFmtId="0" fontId="5" fillId="6" borderId="3" xfId="0" applyNumberFormat="1" applyFont="1" applyFill="1" applyBorder="1" applyAlignment="1">
      <x:alignment horizontal="center" vertical="center" wrapText="1"/>
    </x:xf>
    <x:xf numFmtId="0" fontId="2" fillId="6" borderId="0" xfId="0" applyNumberFormat="1" applyFont="1" applyFill="1" applyBorder="1"/>
    <x:xf numFmtId="0" fontId="0" fillId="6" borderId="0" xfId="0" applyNumberFormat="1" applyFont="1" applyFill="1" applyBorder="1"/>
    <x:xf numFmtId="0" fontId="18" fillId="6" borderId="0" xfId="0" applyNumberFormat="1" applyFont="1" applyFill="1" applyBorder="1"/>
    <x:xf numFmtId="0" fontId="5" fillId="6" borderId="0" xfId="0" applyNumberFormat="1" applyFont="1" applyFill="1" applyBorder="1"/>
    <x:xf numFmtId="0" fontId="18" fillId="6" borderId="0" xfId="0" applyNumberFormat="1" applyFont="1" applyFill="1" applyBorder="1" applyAlignment="1">
      <x:alignment horizontal="center"/>
    </x:xf>
    <x:xf numFmtId="0" fontId="5" fillId="6" borderId="0" xfId="0" applyNumberFormat="1" applyFont="1" applyFill="1" applyBorder="1" applyAlignment="1">
      <x:alignment horizontal="center"/>
    </x:xf>
    <x:xf numFmtId="0" fontId="18" fillId="6" borderId="0" xfId="0" applyNumberFormat="1" applyFont="1" applyFill="1" applyBorder="1" applyAlignment="1">
      <x:alignment horizontal="center" vertical="center"/>
    </x:xf>
    <x:xf numFmtId="0" fontId="5" fillId="6" borderId="0" xfId="0" applyNumberFormat="1" applyFont="1" applyFill="1" applyBorder="1" applyAlignment="1">
      <x:alignment horizontal="center" vertical="center"/>
    </x:xf>
    <x:xf numFmtId="0" fontId="2" fillId="6" borderId="2" xfId="0" applyNumberFormat="1" applyFont="1" applyFill="1" applyBorder="1"/>
    <x:xf numFmtId="0" fontId="0" fillId="6" borderId="2" xfId="0" applyNumberFormat="1" applyFont="1" applyFill="1" applyBorder="1"/>
    <x:xf numFmtId="0" fontId="18" fillId="6" borderId="2" xfId="0" applyNumberFormat="1" applyFont="1" applyFill="1" applyBorder="1"/>
    <x:xf numFmtId="0" fontId="5" fillId="6" borderId="2" xfId="0" applyNumberFormat="1" applyFont="1" applyFill="1" applyBorder="1"/>
    <x:xf numFmtId="0" fontId="18" fillId="6" borderId="2" xfId="0" applyNumberFormat="1" applyFont="1" applyFill="1" applyBorder="1" applyAlignment="1">
      <x:alignment horizontal="center"/>
    </x:xf>
    <x:xf numFmtId="0" fontId="5" fillId="6" borderId="2" xfId="0" applyNumberFormat="1" applyFont="1" applyFill="1" applyBorder="1" applyAlignment="1">
      <x:alignment horizontal="center"/>
    </x:xf>
    <x:xf numFmtId="0" fontId="18" fillId="6" borderId="2" xfId="0" applyNumberFormat="1" applyFont="1" applyFill="1" applyBorder="1" applyAlignment="1">
      <x:alignment horizontal="center" vertical="center"/>
    </x:xf>
    <x:xf numFmtId="0" fontId="5" fillId="6" borderId="2" xfId="0" applyNumberFormat="1" applyFont="1" applyFill="1" applyBorder="1" applyAlignment="1">
      <x:alignment horizontal="center" vertical="center"/>
    </x:xf>
    <x:xf numFmtId="164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left" wrapText="1"/>
    </x:xf>
    <x:xf numFmtId="0" fontId="17" fillId="5" borderId="0" xfId="0" applyNumberFormat="1" applyFont="1" applyFill="1" applyBorder="1" applyAlignment="1">
      <x:alignment horizontal="left" wrapText="1"/>
    </x:xf>
    <x:xf numFmtId="0" fontId="3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164" fontId="0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horizontal="left" vertical="top" wrapText="1"/>
    </x:xf>
    <x:xf numFmtId="0" fontId="18" fillId="6" borderId="0" xfId="0" applyNumberFormat="1" applyFont="1" applyFill="1" applyBorder="1" applyAlignment="1">
      <x:alignment horizontal="center" vertic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5" fillId="3" borderId="1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 applyAlignment="1">
      <x:alignment wrapText="1"/>
    </x:xf>
    <x:xf numFmtId="0" fontId="2" fillId="5" borderId="2" xfId="0" applyNumberFormat="1" applyFont="1" applyFill="1" applyBorder="1" applyAlignment="1">
      <x:alignment horizontal="left" wrapText="1"/>
    </x:xf>
    <x:xf numFmtId="0" fontId="17" fillId="5" borderId="2" xfId="0" applyNumberFormat="1" applyFont="1" applyFill="1" applyBorder="1" applyAlignment="1">
      <x:alignment horizontal="left" wrapText="1"/>
    </x:xf>
    <x:xf numFmtId="0" fontId="3" fillId="0" borderId="2" xfId="0" applyNumberFormat="1" applyFont="1" applyFill="1" applyBorder="1" applyAlignment="1">
      <x:alignment wrapText="1"/>
    </x:xf>
    <x:xf numFmtId="0" fontId="0" fillId="2" borderId="2" xfId="0" applyNumberFormat="1" applyFont="1" applyFill="1" applyBorder="1" applyAlignment="1">
      <x:alignment wrapText="1"/>
    </x:xf>
    <x:xf numFmtId="164" fontId="0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18" fillId="6" borderId="2" xfId="0" applyNumberFormat="1" applyFont="1" applyFill="1" applyBorder="1" applyAlignment="1">
      <x:alignment horizontal="center" vertical="center" wrapText="1"/>
    </x:xf>
    <x:xf numFmtId="0" fontId="5" fillId="6" borderId="2" xfId="0" applyNumberFormat="1" applyFont="1" applyFill="1" applyBorder="1" applyAlignment="1">
      <x:alignment horizontal="center" vertical="center" wrapText="1"/>
    </x:xf>
    <x:xf numFmtId="0" fontId="13" fillId="0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5" borderId="0" xfId="0" applyNumberFormat="1" applyFont="1" applyFill="1" applyBorder="1" applyAlignment="1">
      <x:alignment horizontal="left" vertical="top" wrapText="1"/>
    </x:xf>
    <x:xf numFmtId="0" fontId="17" fillId="5" borderId="0" xfId="0" applyNumberFormat="1" applyFont="1" applyFill="1" applyBorder="1" applyAlignment="1">
      <x:alignment horizontal="left"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164" fontId="0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5" fillId="6" borderId="1" xfId="0" applyNumberFormat="1" applyFont="1" applyFill="1" applyBorder="1" applyAlignment="1">
      <x:alignment horizontal="center" vertical="top" wrapText="1"/>
    </x:xf>
    <x:xf numFmtId="0" fontId="18" fillId="6" borderId="0" xfId="0" applyNumberFormat="1" applyFont="1" applyFill="1" applyBorder="1" applyAlignment="1">
      <x:alignment horizontal="center" vertical="top" wrapText="1"/>
    </x:xf>
    <x:xf numFmtId="0" fontId="5" fillId="6" borderId="0" xfId="0" applyNumberFormat="1" applyFont="1" applyFill="1" applyBorder="1" applyAlignment="1">
      <x:alignment horizontal="center" vertical="top" wrapText="1"/>
    </x:xf>
    <x:xf numFmtId="0" fontId="5" fillId="3" borderId="1" xfId="0" applyNumberFormat="1" applyFont="1" applyFill="1" applyBorder="1" applyAlignment="1">
      <x:alignment horizontal="center" vertical="top" wrapText="1"/>
    </x:xf>
    <x:xf numFmtId="0" fontId="0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13" fillId="0" borderId="2" xfId="0" applyNumberFormat="1" applyFont="1" applyFill="1" applyBorder="1" applyAlignment="1">
      <x:alignment horizontal="center"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2" fillId="5" borderId="2" xfId="0" applyNumberFormat="1" applyFont="1" applyFill="1" applyBorder="1" applyAlignment="1">
      <x:alignment horizontal="left" vertical="top" wrapText="1"/>
    </x:xf>
    <x:xf numFmtId="0" fontId="17" fillId="5" borderId="2" xfId="0" applyNumberFormat="1" applyFont="1" applyFill="1" applyBorder="1" applyAlignment="1">
      <x:alignment horizontal="left"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0" fillId="2" borderId="2" xfId="0" applyNumberFormat="1" applyFont="1" applyFill="1" applyBorder="1" applyAlignment="1">
      <x:alignment vertical="top" wrapText="1"/>
    </x:xf>
    <x:xf numFmtId="164" fontId="0" fillId="0" borderId="2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5" fillId="6" borderId="3" xfId="0" applyNumberFormat="1" applyFont="1" applyFill="1" applyBorder="1" applyAlignment="1">
      <x:alignment horizontal="center" vertical="top" wrapText="1"/>
    </x:xf>
    <x:xf numFmtId="0" fontId="18" fillId="6" borderId="2" xfId="0" applyNumberFormat="1" applyFont="1" applyFill="1" applyBorder="1" applyAlignment="1">
      <x:alignment horizontal="center" vertical="top" wrapText="1"/>
    </x:xf>
    <x:xf numFmtId="0" fontId="5" fillId="6" borderId="2" xfId="0" applyNumberFormat="1" applyFont="1" applyFill="1" applyBorder="1" applyAlignment="1">
      <x:alignment horizontal="center" vertical="top" wrapText="1"/>
    </x:xf>
    <x:xf numFmtId="0" fontId="5" fillId="3" borderId="3" xfId="0" applyNumberFormat="1" applyFont="1" applyFill="1" applyBorder="1" applyAlignment="1">
      <x:alignment horizontal="center" vertical="top" wrapText="1"/>
    </x:xf>
    <x:xf numFmtId="0" fontId="0" fillId="2" borderId="3" xfId="0" applyNumberFormat="1" applyFont="1" applyFill="1" applyBorder="1" applyAlignment="1">
      <x:alignment horizontal="center" vertical="top" wrapText="1"/>
    </x:xf>
    <x:xf numFmtId="0" fontId="0" fillId="0" borderId="3" xfId="0" applyNumberFormat="1" applyFont="1" applyFill="1" applyBorder="1" applyAlignment="1">
      <x:alignment horizontal="center" vertical="top" wrapText="1"/>
    </x:xf>
    <x:xf numFmtId="0" fontId="3" fillId="6" borderId="1" xfId="0" applyNumberFormat="1" applyFont="1" applyFill="1" applyBorder="1" applyAlignment="1">
      <x:alignment horizontal="left" vertical="top" wrapText="1"/>
    </x:xf>
    <x:xf numFmtId="0" fontId="5" fillId="6" borderId="1" xfId="0" applyNumberFormat="1" applyFont="1" applyFill="1" applyBorder="1" applyAlignment="1">
      <x:alignment horizontal="left" vertical="top" wrapText="1"/>
    </x:xf>
    <x:xf numFmtId="0" fontId="3" fillId="6" borderId="3" xfId="0" applyNumberFormat="1" applyFont="1" applyFill="1" applyBorder="1" applyAlignment="1">
      <x:alignment horizontal="left" vertical="top" wrapText="1"/>
    </x:xf>
    <x:xf numFmtId="0" fontId="5" fillId="6" borderId="3" xfId="0" applyNumberFormat="1" applyFont="1" applyFill="1" applyBorder="1" applyAlignment="1">
      <x:alignment horizontal="left" vertical="top" wrapText="1"/>
    </x:xf>
    <x:xf numFmtId="0" fontId="10" fillId="5" borderId="0" xfId="0" applyNumberFormat="1" applyFont="1" applyFill="1" applyBorder="1"/>
    <x:xf numFmtId="0" fontId="10" fillId="5" borderId="2" xfId="0" applyNumberFormat="1" applyFont="1" applyFill="1" applyBorder="1"/>
    <x:xf numFmtId="0" fontId="3" fillId="6" borderId="1" xfId="0" applyNumberFormat="1" applyFont="1" applyFill="1" applyBorder="1" applyAlignment="1">
      <x:alignment horizontal="center" vertical="center" wrapText="1"/>
    </x:xf>
    <x:xf numFmtId="0" fontId="3" fillId="6" borderId="3" xfId="0" applyNumberFormat="1" applyFont="1" applyFill="1" applyBorder="1" applyAlignment="1">
      <x:alignment horizontal="center" vertical="center" wrapText="1"/>
    </x:xf>
    <x:xf numFmtId="0" fontId="2" fillId="5" borderId="0" xfId="0" applyNumberFormat="1" applyFont="1" applyFill="1" applyBorder="1" applyAlignment="1">
      <x:alignment wrapText="1"/>
    </x:xf>
    <x:xf numFmtId="0" fontId="17" fillId="5" borderId="0" xfId="0" applyNumberFormat="1" applyFont="1" applyFill="1" applyBorder="1" applyAlignment="1">
      <x:alignment wrapText="1"/>
    </x:xf>
    <x:xf numFmtId="0" fontId="9" fillId="0" borderId="1" xfId="0" applyNumberFormat="1" applyFont="1" applyFill="1" applyBorder="1" applyAlignment="1">
      <x:alignment horizontal="center" vertical="center" wrapText="1"/>
    </x:xf>
    <x:xf numFmtId="0" fontId="9" fillId="0" borderId="1" xfId="0" applyNumberFormat="1" applyFont="1" applyFill="1" applyBorder="1" applyAlignment="1">
      <x:alignment horizontal="left" vertical="top" wrapText="1"/>
    </x:xf>
    <x:xf numFmtId="0" fontId="10" fillId="5" borderId="0" xfId="0" applyNumberFormat="1" applyFont="1" applyFill="1" applyBorder="1" applyAlignment="1">
      <x:alignment wrapText="1"/>
    </x:xf>
    <x:xf numFmtId="0" fontId="11" fillId="0" borderId="0" xfId="0" applyNumberFormat="1" applyFont="1" applyFill="1" applyBorder="1" applyAlignment="1">
      <x:alignment wrapText="1"/>
    </x:xf>
    <x:xf numFmtId="0" fontId="12" fillId="0" borderId="0" xfId="0" applyNumberFormat="1" applyFont="1" applyFill="1" applyBorder="1" applyAlignment="1">
      <x:alignment wrapText="1"/>
    </x:xf>
    <x:xf numFmtId="0" fontId="2" fillId="5" borderId="2" xfId="0" applyNumberFormat="1" applyFont="1" applyFill="1" applyBorder="1" applyAlignment="1">
      <x:alignment wrapText="1"/>
    </x:xf>
    <x:xf numFmtId="0" fontId="17" fillId="5" borderId="2" xfId="0" applyNumberFormat="1" applyFont="1" applyFill="1" applyBorder="1" applyAlignment="1">
      <x:alignment wrapText="1"/>
    </x:xf>
    <x:xf numFmtId="0" fontId="10" fillId="5" borderId="2" xfId="0" applyNumberFormat="1" applyFont="1" applyFill="1" applyBorder="1" applyAlignment="1">
      <x:alignment wrapText="1"/>
    </x:xf>
    <x:xf numFmtId="0" fontId="11" fillId="0" borderId="2" xfId="0" applyNumberFormat="1" applyFont="1" applyFill="1" applyBorder="1" applyAlignment="1">
      <x:alignment wrapText="1"/>
    </x:xf>
    <x:xf numFmtId="0" fontId="12" fillId="0" borderId="2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horizontal="center" vertical="top" wrapText="1"/>
    </x:xf>
    <x:xf numFmtId="0" fontId="14" fillId="0" borderId="0" xfId="0" applyNumberFormat="1" applyFont="1" applyFill="1" applyBorder="1" applyAlignment="1">
      <x:alignment vertical="top" wrapText="1"/>
    </x:xf>
    <x:xf numFmtId="0" fontId="2" fillId="5" borderId="0" xfId="0" applyNumberFormat="1" applyFont="1" applyFill="1" applyBorder="1" applyAlignment="1">
      <x:alignment vertical="top" wrapText="1"/>
    </x:xf>
    <x:xf numFmtId="0" fontId="17" fillId="5" borderId="0" xfId="0" applyNumberFormat="1" applyFont="1" applyFill="1" applyBorder="1" applyAlignment="1">
      <x:alignment vertical="top" wrapText="1"/>
    </x:xf>
    <x:xf numFmtId="0" fontId="9" fillId="0" borderId="1" xfId="0" applyNumberFormat="1" applyFont="1" applyFill="1" applyBorder="1" applyAlignment="1">
      <x:alignment horizontal="center" vertical="top" wrapText="1"/>
    </x:xf>
    <x:xf numFmtId="0" fontId="10" fillId="5" borderId="0" xfId="0" applyNumberFormat="1" applyFont="1" applyFill="1" applyBorder="1" applyAlignment="1">
      <x:alignment vertical="top" wrapText="1"/>
    </x:xf>
    <x:xf numFmtId="0" fontId="11" fillId="0" borderId="0" xfId="0" applyNumberFormat="1" applyFont="1" applyFill="1" applyBorder="1" applyAlignment="1">
      <x:alignment vertical="top" wrapText="1"/>
    </x:xf>
    <x:xf numFmtId="0" fontId="12" fillId="0" borderId="0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horizontal="center" vertical="top" wrapText="1"/>
    </x:xf>
    <x:xf numFmtId="0" fontId="14" fillId="0" borderId="2" xfId="0" applyNumberFormat="1" applyFont="1" applyFill="1" applyBorder="1" applyAlignment="1">
      <x:alignment vertical="top" wrapText="1"/>
    </x:xf>
    <x:xf numFmtId="0" fontId="2" fillId="5" borderId="2" xfId="0" applyNumberFormat="1" applyFont="1" applyFill="1" applyBorder="1" applyAlignment="1">
      <x:alignment vertical="top" wrapText="1"/>
    </x:xf>
    <x:xf numFmtId="0" fontId="17" fillId="5" borderId="2" xfId="0" applyNumberFormat="1" applyFont="1" applyFill="1" applyBorder="1" applyAlignment="1">
      <x:alignment vertical="top" wrapText="1"/>
    </x:xf>
    <x:xf numFmtId="0" fontId="9" fillId="0" borderId="3" xfId="0" applyNumberFormat="1" applyFont="1" applyFill="1" applyBorder="1" applyAlignment="1">
      <x:alignment horizontal="center" vertical="top" wrapText="1"/>
    </x:xf>
    <x:xf numFmtId="0" fontId="10" fillId="5" borderId="2" xfId="0" applyNumberFormat="1" applyFont="1" applyFill="1" applyBorder="1" applyAlignment="1">
      <x:alignment vertical="top" wrapText="1"/>
    </x:xf>
    <x:xf numFmtId="0" fontId="11" fillId="0" borderId="2" xfId="0" applyNumberFormat="1" applyFont="1" applyFill="1" applyBorder="1" applyAlignment="1">
      <x:alignment vertical="top" wrapText="1"/>
    </x:xf>
    <x:xf numFmtId="0" fontId="12" fillId="0" borderId="2" xfId="0" applyNumberFormat="1" applyFont="1" applyFill="1" applyBorder="1" applyAlignment="1">
      <x:alignment vertical="top" wrapText="1"/>
    </x:xf>
    <x:xf numFmtId="0" fontId="13" fillId="7" borderId="0" xfId="0" applyNumberFormat="1" applyFont="1" applyFill="1" applyBorder="1" applyAlignment="1">
      <x:alignment horizontal="center" vertical="top" wrapText="1"/>
    </x:xf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vertical="top" wrapText="1"/>
    </x:xf>
    <x:xf numFmtId="0" fontId="2" fillId="7" borderId="0" xfId="0" applyNumberFormat="1" applyFont="1" applyFill="1" applyBorder="1" applyAlignment="1">
      <x:alignment horizontal="left" vertical="top" wrapText="1"/>
    </x:xf>
    <x:xf numFmtId="0" fontId="17" fillId="7" borderId="0" xfId="0" applyNumberFormat="1" applyFont="1" applyFill="1" applyBorder="1" applyAlignment="1">
      <x:alignment horizontal="left" vertical="top" wrapText="1"/>
    </x:xf>
    <x:xf numFmtId="0" fontId="3" fillId="7" borderId="0" xfId="0" applyNumberFormat="1" applyFont="1" applyFill="1" applyBorder="1" applyAlignment="1">
      <x:alignment vertical="top" wrapText="1"/>
    </x:xf>
    <x:xf numFmtId="164" fontId="0" fillId="7" borderId="0" xfId="0" applyNumberFormat="1" applyFont="1" applyFill="1" applyBorder="1" applyAlignment="1">
      <x:alignment vertical="top" wrapText="1"/>
    </x:xf>
    <x:xf numFmtId="0" fontId="4" fillId="7" borderId="0" xfId="0" applyNumberFormat="1" applyFont="1" applyFill="1" applyBorder="1" applyAlignment="1">
      <x:alignment vertical="top" wrapText="1"/>
    </x:xf>
    <x:xf numFmtId="0" fontId="5" fillId="7" borderId="1" xfId="0" applyNumberFormat="1" applyFont="1" applyFill="1" applyBorder="1" applyAlignment="1">
      <x:alignment horizontal="center" vertical="top" wrapText="1"/>
    </x:xf>
    <x:xf numFmtId="0" fontId="0" fillId="7" borderId="1" xfId="0" applyNumberFormat="1" applyFont="1" applyFill="1" applyBorder="1" applyAlignment="1">
      <x:alignment horizontal="left" vertical="top" wrapText="1"/>
    </x:xf>
    <x:xf numFmtId="0" fontId="18" fillId="7" borderId="0" xfId="0" applyNumberFormat="1" applyFont="1" applyFill="1" applyBorder="1" applyAlignment="1">
      <x:alignment horizontal="center" vertical="top" wrapText="1"/>
    </x:xf>
    <x:xf numFmtId="0" fontId="5" fillId="7" borderId="0" xfId="0" applyNumberFormat="1" applyFont="1" applyFill="1" applyBorder="1" applyAlignment="1">
      <x:alignment horizontal="center" vertical="top" wrapText="1"/>
    </x:xf>
    <x:xf numFmtId="0" fontId="0" fillId="7" borderId="1" xfId="0" applyNumberFormat="1" applyFont="1" applyFill="1" applyBorder="1" applyAlignment="1">
      <x:alignment horizontal="center" vertical="top" wrapText="1"/>
    </x:xf>
    <x:xf numFmtId="0" fontId="0" fillId="7" borderId="1" xfId="0" applyNumberFormat="1" applyFont="1" applyFill="1" applyBorder="1" applyAlignment="1">
      <x:alignment horizontal="center" vertical="center" wrapText="1"/>
    </x:xf>
    <x:xf numFmtId="0" fontId="13" fillId="7" borderId="2" xfId="0" applyNumberFormat="1" applyFont="1" applyFill="1" applyBorder="1" applyAlignment="1">
      <x:alignment horizontal="center" vertical="top" wrapText="1"/>
    </x:xf>
    <x:xf numFmtId="0" fontId="0" fillId="7" borderId="2" xfId="0" applyNumberFormat="1" applyFont="1" applyFill="1" applyBorder="1"/>
    <x:xf numFmtId="0" fontId="0" fillId="7" borderId="2" xfId="0" applyNumberFormat="1" applyFont="1" applyFill="1" applyBorder="1" applyAlignment="1">
      <x:alignment vertical="top" wrapText="1"/>
    </x:xf>
    <x:xf numFmtId="0" fontId="2" fillId="7" borderId="2" xfId="0" applyNumberFormat="1" applyFont="1" applyFill="1" applyBorder="1" applyAlignment="1">
      <x:alignment horizontal="left" vertical="top" wrapText="1"/>
    </x:xf>
    <x:xf numFmtId="0" fontId="17" fillId="7" borderId="2" xfId="0" applyNumberFormat="1" applyFont="1" applyFill="1" applyBorder="1" applyAlignment="1">
      <x:alignment horizontal="left" vertical="top" wrapText="1"/>
    </x:xf>
    <x:xf numFmtId="0" fontId="3" fillId="7" borderId="2" xfId="0" applyNumberFormat="1" applyFont="1" applyFill="1" applyBorder="1" applyAlignment="1">
      <x:alignment vertical="top" wrapText="1"/>
    </x:xf>
    <x:xf numFmtId="164" fontId="0" fillId="7" borderId="2" xfId="0" applyNumberFormat="1" applyFont="1" applyFill="1" applyBorder="1" applyAlignment="1">
      <x:alignment vertical="top" wrapText="1"/>
    </x:xf>
    <x:xf numFmtId="0" fontId="4" fillId="7" borderId="2" xfId="0" applyNumberFormat="1" applyFont="1" applyFill="1" applyBorder="1" applyAlignment="1">
      <x:alignment vertical="top" wrapText="1"/>
    </x:xf>
    <x:xf numFmtId="0" fontId="5" fillId="7" borderId="3" xfId="0" applyNumberFormat="1" applyFont="1" applyFill="1" applyBorder="1" applyAlignment="1">
      <x:alignment horizontal="center" vertical="top" wrapText="1"/>
    </x:xf>
    <x:xf numFmtId="0" fontId="0" fillId="7" borderId="3" xfId="0" applyNumberFormat="1" applyFont="1" applyFill="1" applyBorder="1" applyAlignment="1">
      <x:alignment horizontal="left" vertical="top" wrapText="1"/>
    </x:xf>
    <x:xf numFmtId="0" fontId="18" fillId="7" borderId="2" xfId="0" applyNumberFormat="1" applyFont="1" applyFill="1" applyBorder="1" applyAlignment="1">
      <x:alignment horizontal="center" vertical="top" wrapText="1"/>
    </x:xf>
    <x:xf numFmtId="0" fontId="5" fillId="7" borderId="2" xfId="0" applyNumberFormat="1" applyFont="1" applyFill="1" applyBorder="1" applyAlignment="1">
      <x:alignment horizontal="center" vertical="top" wrapText="1"/>
    </x:xf>
    <x:xf numFmtId="0" fontId="0" fillId="7" borderId="3" xfId="0" applyNumberFormat="1" applyFont="1" applyFill="1" applyBorder="1" applyAlignment="1">
      <x:alignment horizontal="center" vertical="top" wrapText="1"/>
    </x:xf>
    <x:xf numFmtId="0" fontId="0" fillId="7" borderId="3" xfId="0" applyNumberFormat="1" applyFont="1" applyFill="1" applyBorder="1" applyAlignment="1">
      <x:alignment horizontal="center" vertical="center" wrapText="1"/>
    </x:xf>
    <x:xf numFmtId="0" fontId="13" fillId="7" borderId="0" xfId="0" applyNumberFormat="1" applyFont="1" applyFill="1" applyBorder="1" applyAlignment="1">
      <x:alignment horizontal="center" vertical="center" wrapText="1"/>
    </x:xf>
    <x:xf numFmtId="0" fontId="13" fillId="7" borderId="0" xfId="0" applyNumberFormat="1" applyFont="1" applyFill="1" applyBorder="1" applyAlignment="1">
      <x:alignment horizontal="center" vertical="center"/>
    </x:xf>
    <x:xf numFmtId="0" fontId="6" fillId="7" borderId="0" xfId="0" applyNumberFormat="1" applyFont="1" applyFill="1" applyBorder="1" applyAlignment="1">
      <x:alignment horizontal="left" vertical="top" wrapText="1"/>
    </x:xf>
    <x:xf numFmtId="0" fontId="14" fillId="7" borderId="0" xfId="0" applyNumberFormat="1" applyFont="1" applyFill="1" applyBorder="1" applyAlignment="1">
      <x:alignment wrapText="1"/>
    </x:xf>
    <x:xf numFmtId="0" fontId="5" fillId="7" borderId="1" xfId="0" applyNumberFormat="1" applyFont="1" applyFill="1" applyBorder="1" applyAlignment="1">
      <x:alignment horizontal="center" vertical="center" wrapText="1"/>
    </x:xf>
    <x:xf numFmtId="0" fontId="13" fillId="7" borderId="2" xfId="0" applyNumberFormat="1" applyFont="1" applyFill="1" applyBorder="1" applyAlignment="1">
      <x:alignment horizontal="center" vertical="center" wrapText="1"/>
    </x:xf>
    <x:xf numFmtId="0" fontId="13" fillId="7" borderId="2" xfId="0" applyNumberFormat="1" applyFont="1" applyFill="1" applyBorder="1" applyAlignment="1">
      <x:alignment horizontal="center" vertical="center"/>
    </x:xf>
    <x:xf numFmtId="0" fontId="6" fillId="7" borderId="2" xfId="0" applyNumberFormat="1" applyFont="1" applyFill="1" applyBorder="1" applyAlignment="1">
      <x:alignment horizontal="left" vertical="top" wrapText="1"/>
    </x:xf>
    <x:xf numFmtId="0" fontId="14" fillId="7" borderId="2" xfId="0" applyNumberFormat="1" applyFont="1" applyFill="1" applyBorder="1" applyAlignment="1">
      <x:alignment wrapText="1"/>
    </x:xf>
    <x:xf numFmtId="0" fontId="5" fillId="7" borderId="3" xfId="0" applyNumberFormat="1" applyFont="1" applyFill="1" applyBorder="1" applyAlignment="1">
      <x:alignment horizontal="center" vertical="center" wrapText="1"/>
    </x:xf>
    <x:xf numFmtId="0" fontId="15" fillId="7" borderId="0" xfId="0" applyNumberFormat="1" applyFont="1" applyFill="1" applyBorder="1" applyAlignment="1">
      <x:alignment horizontal="center" vertical="center" wrapText="1"/>
    </x:xf>
    <x:xf numFmtId="0" fontId="16" fillId="7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/>
    <x:xf numFmtId="0" fontId="17" fillId="7" borderId="0" xfId="0" applyNumberFormat="1" applyFont="1" applyFill="1" applyBorder="1"/>
    <x:xf numFmtId="0" fontId="15" fillId="7" borderId="2" xfId="0" applyNumberFormat="1" applyFont="1" applyFill="1" applyBorder="1" applyAlignment="1">
      <x:alignment horizontal="center" vertical="center" wrapText="1"/>
    </x:xf>
    <x:xf numFmtId="0" fontId="16" fillId="7" borderId="2" xfId="0" applyNumberFormat="1" applyFont="1" applyFill="1" applyBorder="1" applyAlignment="1">
      <x:alignment wrapText="1"/>
    </x:xf>
    <x:xf numFmtId="0" fontId="2" fillId="7" borderId="2" xfId="0" applyNumberFormat="1" applyFont="1" applyFill="1" applyBorder="1"/>
    <x:xf numFmtId="0" fontId="17" fillId="7" borderId="2" xfId="0" applyNumberFormat="1" applyFont="1" applyFill="1" applyBorder="1"/>
    <x:xf numFmtId="0" fontId="6" fillId="7" borderId="0" xfId="0" applyNumberFormat="1" applyFont="1" applyFill="1" applyBorder="1" applyAlignment="1">
      <x:alignment horizontal="center" vertical="top" wrapText="1"/>
    </x:xf>
    <x:xf numFmtId="0" fontId="14" fillId="7" borderId="0" xfId="0" applyNumberFormat="1" applyFont="1" applyFill="1" applyBorder="1" applyAlignment="1">
      <x:alignment vertical="top" wrapText="1"/>
    </x:xf>
    <x:xf numFmtId="0" fontId="2" fillId="7" borderId="0" xfId="0" applyNumberFormat="1" applyFont="1" applyFill="1" applyBorder="1" applyAlignment="1">
      <x:alignment vertical="top" wrapText="1"/>
    </x:xf>
    <x:xf numFmtId="0" fontId="17" fillId="7" borderId="0" xfId="0" applyNumberFormat="1" applyFont="1" applyFill="1" applyBorder="1" applyAlignment="1">
      <x:alignment vertical="top" wrapText="1"/>
    </x:xf>
    <x:xf numFmtId="0" fontId="9" fillId="7" borderId="1" xfId="0" applyNumberFormat="1" applyFont="1" applyFill="1" applyBorder="1" applyAlignment="1">
      <x:alignment horizontal="center" vertical="top" wrapText="1"/>
    </x:xf>
    <x:xf numFmtId="0" fontId="9" fillId="7" borderId="1" xfId="0" applyNumberFormat="1" applyFont="1" applyFill="1" applyBorder="1" applyAlignment="1">
      <x:alignment horizontal="left" vertical="top" wrapText="1"/>
    </x:xf>
    <x:xf numFmtId="0" fontId="10" fillId="7" borderId="0" xfId="0" applyNumberFormat="1" applyFont="1" applyFill="1" applyBorder="1" applyAlignment="1">
      <x:alignment vertical="top" wrapText="1"/>
    </x:xf>
    <x:xf numFmtId="0" fontId="11" fillId="7" borderId="0" xfId="0" applyNumberFormat="1" applyFont="1" applyFill="1" applyBorder="1" applyAlignment="1">
      <x:alignment vertical="top" wrapText="1"/>
    </x:xf>
    <x:xf numFmtId="0" fontId="12" fillId="7" borderId="0" xfId="0" applyNumberFormat="1" applyFont="1" applyFill="1" applyBorder="1" applyAlignment="1">
      <x:alignment vertical="top" wrapText="1"/>
    </x:xf>
    <x:xf numFmtId="0" fontId="6" fillId="7" borderId="2" xfId="0" applyNumberFormat="1" applyFont="1" applyFill="1" applyBorder="1" applyAlignment="1">
      <x:alignment horizontal="center" vertical="top" wrapText="1"/>
    </x:xf>
    <x:xf numFmtId="0" fontId="14" fillId="7" borderId="2" xfId="0" applyNumberFormat="1" applyFont="1" applyFill="1" applyBorder="1" applyAlignment="1">
      <x:alignment vertical="top" wrapText="1"/>
    </x:xf>
    <x:xf numFmtId="0" fontId="2" fillId="7" borderId="2" xfId="0" applyNumberFormat="1" applyFont="1" applyFill="1" applyBorder="1" applyAlignment="1">
      <x:alignment vertical="top" wrapText="1"/>
    </x:xf>
    <x:xf numFmtId="0" fontId="17" fillId="7" borderId="2" xfId="0" applyNumberFormat="1" applyFont="1" applyFill="1" applyBorder="1" applyAlignment="1">
      <x:alignment vertical="top" wrapText="1"/>
    </x:xf>
    <x:xf numFmtId="0" fontId="9" fillId="7" borderId="3" xfId="0" applyNumberFormat="1" applyFont="1" applyFill="1" applyBorder="1" applyAlignment="1">
      <x:alignment horizontal="center" vertical="top" wrapText="1"/>
    </x:xf>
    <x:xf numFmtId="0" fontId="9" fillId="7" borderId="3" xfId="0" applyNumberFormat="1" applyFont="1" applyFill="1" applyBorder="1" applyAlignment="1">
      <x:alignment horizontal="left" vertical="top" wrapText="1"/>
    </x:xf>
    <x:xf numFmtId="0" fontId="10" fillId="7" borderId="2" xfId="0" applyNumberFormat="1" applyFont="1" applyFill="1" applyBorder="1" applyAlignment="1">
      <x:alignment vertical="top" wrapText="1"/>
    </x:xf>
    <x:xf numFmtId="0" fontId="11" fillId="7" borderId="2" xfId="0" applyNumberFormat="1" applyFont="1" applyFill="1" applyBorder="1" applyAlignment="1">
      <x:alignment vertical="top" wrapText="1"/>
    </x:xf>
    <x:xf numFmtId="0" fontId="12" fillId="7" borderId="2" xfId="0" applyNumberFormat="1" applyFont="1" applyFill="1" applyBorder="1" applyAlignment="1">
      <x:alignment vertical="top" wrapText="1"/>
    </x:xf>
    <x:xf numFmtId="0" fontId="0" fillId="8" borderId="1" xfId="0" applyNumberFormat="1" applyFont="1" applyFill="1" applyBorder="1" applyAlignment="1">
      <x:alignment horizontal="left" vertical="top" wrapText="1"/>
    </x:xf>
    <x:xf numFmtId="0" fontId="0" fillId="8" borderId="3" xfId="0" applyNumberFormat="1" applyFont="1" applyFill="1" applyBorder="1" applyAlignment="1">
      <x:alignment horizontal="left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e77bd0ae2a400a" /><Relationship Type="http://schemas.openxmlformats.org/officeDocument/2006/relationships/theme" Target="/xl/theme/theme1.xml" Id="Ra129b3e9c1cc42b1" /><Relationship Type="http://schemas.openxmlformats.org/officeDocument/2006/relationships/sharedStrings" Target="/xl/sharedStrings.xml" Id="Rf6557576f10f4511" /><Relationship Type="http://schemas.openxmlformats.org/officeDocument/2006/relationships/worksheet" Target="/xl/worksheets/sheet1.xml" Id="R33ca133b31c6452c" /><Relationship Type="http://schemas.openxmlformats.org/officeDocument/2006/relationships/worksheet" Target="/xl/worksheets/sheet2.xml" Id="R8399e88796224204" /><Relationship Type="http://schemas.openxmlformats.org/officeDocument/2006/relationships/worksheet" Target="/xl/worksheets/sheet3.xml" Id="R17cebca1c64d4c10" /><Relationship Type="http://schemas.openxmlformats.org/officeDocument/2006/relationships/worksheet" Target="/xl/worksheets/sheet4.xml" Id="R1da6e5c22e354c79" /></Relationships>
</file>

<file path=xl/tables/table1.xml><?xml version="1.0" encoding="utf-8"?>
<x:table xmlns:x="http://schemas.openxmlformats.org/spreadsheetml/2006/main" id="1" name="Week3DetailedAuditLog" displayName="Week3DetailedAuditLog" ref="A3:H15" headerRowCount="1">
  <x:tableColumns count="8">
    <x:tableColumn id="1" name="Entry #"/>
    <x:tableColumn id="2" name="Prompt Type"/>
    <x:tableColumn id="3" name="Stage/Component"/>
    <x:tableColumn id="4" name="Problem/Context"/>
    <x:tableColumn id="5" name="Prompt to AI"/>
    <x:tableColumn id="6" name="AI Response (Summary)"/>
    <x:tableColumn id="7" name="Human Delta &amp; Reflection"/>
    <x:tableColumn id="8" name="Evidence"/>
  </x:tableColumns>
  <x:tableStyleInfo name="TableStyleMedium2" showRowStripes="1"/>
</x:table>
</file>

<file path=xl/tables/table2.xml><?xml version="1.0" encoding="utf-8"?>
<x:table xmlns:x="http://schemas.openxmlformats.org/spreadsheetml/2006/main" id="2" name="Week3HallucinationLog" displayName="Week3HallucinationLog" ref="A3:F6" headerRowCount="1">
  <x:tableColumns count="6">
    <x:tableColumn id="1" name="Entry # (from Sheet 2)"/>
    <x:tableColumn id="2" name="Hallucination Type"/>
    <x:tableColumn id="3" name="AI's Claim"/>
    <x:tableColumn id="4" name="Reality Check"/>
    <x:tableColumn id="5" name="How Detected"/>
    <x:tableColumn id="6" name="Corrective Action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680eb8041d2492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e81fe60524f4be5" /></Relationships>
</file>

<file path=xl/worksheets/sheet1.xml><?xml version="1.0" encoding="utf-8"?>
<x:worksheet xmlns:x="http://schemas.openxmlformats.org/spreadsheetml/2006/main">
  <x:sheetFormatPr defaultRowHeight="14.399999618530273"/>
  <x:cols>
    <x:col min="1" max="1" width="28" hidden="0" customWidth="1"/>
    <x:col min="2" max="2" width="16" hidden="0" customWidth="1"/>
    <x:col min="3" max="3" width="68" hidden="0" customWidth="1"/>
    <x:col min="4" max="4" width="18" hidden="0" customWidth="1"/>
    <x:col min="5" max="6" width="20" customWidth="1"/>
    <x:col min="5" max="5" width="18" hidden="0" customWidth="1"/>
  </x:cols>
  <x:sheetData>
    <x:row r="1" ht="24" customHeight="1">
      <x:c r="A1" s="210" t="str">
        <x:v>AI AUDIT LOG - METADATA &amp; SUMMARY</x:v>
      </x:c>
      <x:c r="B1" s="210"/>
      <x:c r="C1" s="210"/>
      <x:c r="D1" s="210"/>
      <x:c r="E1" s="210"/>
      <x:c r="F1" s="183"/>
      <x:c r="G1" s="183"/>
      <x:c r="H1" s="183"/>
    </x:row>
    <x:row r="2">
      <x:c r="A2" s="184"/>
      <x:c r="B2" s="184"/>
      <x:c r="C2" s="184"/>
      <x:c r="D2" s="184"/>
      <x:c r="E2" s="184"/>
      <x:c r="F2" s="183"/>
      <x:c r="G2" s="183"/>
      <x:c r="H2" s="183"/>
    </x:row>
    <x:row r="3" ht="18">
      <x:c r="A3" s="120" t="str">
        <x:v>STUDENT INFORMATION</x:v>
      </x:c>
      <x:c r="B3" s="121"/>
      <x:c r="C3" s="121"/>
      <x:c r="D3" s="121"/>
      <x:c r="E3" s="121"/>
      <x:c r="F3" s="183"/>
      <x:c r="G3" s="183"/>
      <x:c r="H3" s="183"/>
    </x:row>
    <x:row r="4">
      <x:c r="A4" s="187" t="str">
        <x:v>Student Name:</x:v>
      </x:c>
      <x:c r="B4" s="184"/>
      <x:c r="C4" s="184" t="str">
        <x:v>Hoàng Thị Hải Như</x:v>
      </x:c>
      <x:c r="D4" s="184"/>
      <x:c r="E4" s="184"/>
      <x:c r="F4" s="183"/>
      <x:c r="G4" s="183"/>
      <x:c r="H4" s="183"/>
    </x:row>
    <x:row r="5">
      <x:c r="A5" s="187" t="str">
        <x:v>Student ID:</x:v>
      </x:c>
      <x:c r="B5" s="184"/>
      <x:c r="C5" s="184" t="str">
        <x:v>DE190432</x:v>
      </x:c>
      <x:c r="D5" s="184"/>
      <x:c r="E5" s="184"/>
      <x:c r="F5" s="183"/>
      <x:c r="G5" s="183"/>
      <x:c r="H5" s="183"/>
    </x:row>
    <x:row r="6">
      <x:c r="A6" s="187" t="str">
        <x:v>Course:</x:v>
      </x:c>
      <x:c r="B6" s="184"/>
      <x:c r="C6" s="184" t="str">
        <x:v>SWR302</x:v>
      </x:c>
      <x:c r="D6" s="184"/>
      <x:c r="E6" s="184"/>
      <x:c r="F6" s="183"/>
      <x:c r="G6" s="183"/>
      <x:c r="H6" s="183"/>
    </x:row>
    <x:row r="7">
      <x:c r="A7" s="187" t="str">
        <x:v>Assignment:</x:v>
      </x:c>
      <x:c r="B7" s="184"/>
      <x:c r="C7" s="184" t="str">
        <x:v>Week 3 - SWR Requirements Modeling: SRS, Use Case, Context Diagram, Swimlane Diagram for RFID Member Tracking System</x:v>
      </x:c>
      <x:c r="D7" s="184"/>
      <x:c r="E7" s="184"/>
      <x:c r="F7" s="183"/>
      <x:c r="G7" s="183"/>
      <x:c r="H7" s="183"/>
    </x:row>
    <x:row r="8">
      <x:c r="A8" s="184"/>
      <x:c r="B8" s="184"/>
      <x:c r="C8" s="184"/>
      <x:c r="D8" s="184"/>
      <x:c r="E8" s="184"/>
      <x:c r="F8" s="183"/>
      <x:c r="G8" s="183"/>
      <x:c r="H8" s="183"/>
    </x:row>
    <x:row r="9" ht="18">
      <x:c r="A9" s="120" t="str">
        <x:v>AI USAGE SUMMARY</x:v>
      </x:c>
      <x:c r="B9" s="121"/>
      <x:c r="C9" s="121"/>
      <x:c r="D9" s="121"/>
      <x:c r="E9" s="121"/>
      <x:c r="F9" s="183"/>
      <x:c r="G9" s="183"/>
      <x:c r="H9" s="183"/>
    </x:row>
    <x:row r="10">
      <x:c r="A10" s="187" t="str">
        <x:v>Total Prompts Used (all AI tools):</x:v>
      </x:c>
      <x:c r="B10" s="184"/>
      <x:c r="C10" s="184" t="n">
        <x:v>82</x:v>
      </x:c>
      <x:c r="D10" s="184"/>
      <x:c r="E10" s="184"/>
      <x:c r="F10" s="183"/>
      <x:c r="G10" s="183"/>
      <x:c r="H10" s="183"/>
    </x:row>
    <x:row r="11">
      <x:c r="A11" s="187" t="str">
        <x:v>Core Prompts Logged:</x:v>
      </x:c>
      <x:c r="B11" s="184"/>
      <x:c r="C11" s="184" t="n">
        <x:v>12</x:v>
      </x:c>
      <x:c r="D11" s="184"/>
      <x:c r="E11" s="184"/>
      <x:c r="F11" s="183"/>
      <x:c r="G11" s="183"/>
      <x:c r="H11" s="183"/>
    </x:row>
    <x:row r="12">
      <x:c r="A12" s="187" t="str">
        <x:v>Selection Ratio:</x:v>
      </x:c>
      <x:c r="B12" s="184"/>
      <x:c r="C12" s="188" t="n">
        <x:f>C11/C10</x:f>
        <x:v>0.14634146341463414</x:v>
      </x:c>
      <x:c r="D12" s="184"/>
      <x:c r="E12" s="189" t="str">
        <x:v>Should be 10-20%</x:v>
      </x:c>
      <x:c r="F12" s="183"/>
      <x:c r="G12" s="183"/>
      <x:c r="H12" s="183"/>
    </x:row>
    <x:row r="13">
      <x:c r="A13" s="187" t="str">
        <x:v>Hallucination Detected:</x:v>
      </x:c>
      <x:c r="B13" s="184"/>
      <x:c r="C13" s="184" t="n">
        <x:v>3</x:v>
      </x:c>
      <x:c r="D13" s="184"/>
      <x:c r="E13" s="184"/>
      <x:c r="F13" s="183"/>
      <x:c r="G13" s="183"/>
      <x:c r="H13" s="183"/>
    </x:row>
    <x:row r="14">
      <x:c r="A14" s="184"/>
      <x:c r="B14" s="184"/>
      <x:c r="C14" s="184"/>
      <x:c r="D14" s="184"/>
      <x:c r="E14" s="184"/>
      <x:c r="F14" s="183"/>
      <x:c r="G14" s="183"/>
      <x:c r="H14" s="183"/>
    </x:row>
    <x:row r="15" ht="18">
      <x:c r="A15" s="120" t="str">
        <x:v>AI TOOLS USED</x:v>
      </x:c>
      <x:c r="B15" s="121"/>
      <x:c r="C15" s="121"/>
      <x:c r="D15" s="121"/>
      <x:c r="E15" s="121"/>
      <x:c r="F15" s="183"/>
      <x:c r="G15" s="183"/>
      <x:c r="H15" s="183"/>
    </x:row>
    <x:row r="16">
      <x:c r="A16" s="77" t="str">
        <x:v>AI Tool</x:v>
      </x:c>
      <x:c r="B16" s="77" t="str">
        <x:v>Purpose</x:v>
      </x:c>
      <x:c r="C16" s="77" t="str">
        <x:v>Frequency</x:v>
      </x:c>
      <x:c r="D16" s="77" t="str">
        <x:v>Main Value</x:v>
      </x:c>
      <x:c r="E16" s="184"/>
      <x:c r="F16" s="183"/>
      <x:c r="G16" s="183"/>
      <x:c r="H16" s="183"/>
    </x:row>
    <x:row r="17">
      <x:c r="A17" s="191" t="str">
        <x:v>ChatGPT</x:v>
      </x:c>
      <x:c r="B17" s="191" t="str">
        <x:v>Requirement analysis, SRS explanation, use case/context/swimlane drafting, diagram XML generation, verification</x:v>
      </x:c>
      <x:c r="C17" s="191" t="str">
        <x:v>High</x:v>
      </x:c>
      <x:c r="D17" s="191" t="str">
        <x:v>Fastly converted raw SWR case into structured models and helped compare alternatives</x:v>
      </x:c>
      <x:c r="E17" s="184"/>
      <x:c r="F17" s="183"/>
      <x:c r="G17" s="183"/>
      <x:c r="H17" s="183"/>
    </x:row>
    <x:row r="18">
      <x:c r="A18" s="191" t="str">
        <x:v>diagrams.net / Draw.io XML generated with AI support</x:v>
      </x:c>
      <x:c r="B18" s="191" t="str">
        <x:v>Create editable context/use case diagram files from text</x:v>
      </x:c>
      <x:c r="C18" s="191" t="str">
        <x:v>Medium</x:v>
      </x:c>
      <x:c r="D18" s="191" t="str">
        <x:v>Saved time when redrawing diagrams and keeping layout concise</x:v>
      </x:c>
      <x:c r="E18" s="184"/>
      <x:c r="F18" s="183"/>
      <x:c r="G18" s="183"/>
      <x:c r="H18" s="183"/>
    </x:row>
    <x:row r="19">
      <x:c r="A19" s="191" t="str">
        <x:v>StarUML guidance supported by AI</x:v>
      </x:c>
      <x:c r="B19" s="191" t="str">
        <x:v>Explain where to place actors, use cases, include/extend and swimlane elements</x:v>
      </x:c>
      <x:c r="C19" s="191" t="str">
        <x:v>Medium</x:v>
      </x:c>
      <x:c r="D19" s="191" t="str">
        <x:v>Reduced modeling errors before final redraw</x:v>
      </x:c>
      <x:c r="E19" s="184"/>
      <x:c r="F19" s="183"/>
      <x:c r="G19" s="183"/>
      <x:c r="H19" s="183"/>
    </x:row>
    <x:row r="20">
      <x:c r="A20" s="191"/>
      <x:c r="B20" s="191"/>
      <x:c r="C20" s="191"/>
      <x:c r="D20" s="191"/>
      <x:c r="E20" s="184"/>
      <x:c r="F20" s="183"/>
      <x:c r="G20" s="183"/>
      <x:c r="H20" s="183"/>
    </x:row>
    <x:row r="21">
      <x:c r="A21" s="121" t="str">
        <x:v>CORE PROMPTS DISTRIBUTION BY DTC COMPONENT</x:v>
      </x:c>
      <x:c r="B21" s="121"/>
      <x:c r="C21" s="121"/>
      <x:c r="D21" s="121"/>
      <x:c r="E21" s="121"/>
      <x:c r="F21" s="183"/>
      <x:c r="G21" s="183"/>
      <x:c r="H21" s="183"/>
    </x:row>
    <x:row r="22" ht="18">
      <x:c r="A22" s="104" t="str">
        <x:v>DTC Component</x:v>
      </x:c>
      <x:c r="B22" s="105" t="str">
        <x:v>Number of Prompts</x:v>
      </x:c>
      <x:c r="C22" s="105" t="str">
        <x:v>Required (Min)</x:v>
      </x:c>
      <x:c r="D22" s="184"/>
      <x:c r="E22" s="184"/>
      <x:c r="F22" s="183"/>
      <x:c r="G22" s="183"/>
      <x:c r="H22" s="183"/>
    </x:row>
    <x:row r="23">
      <x:c r="A23" s="190" t="str">
        <x:v>Decomposition</x:v>
      </x:c>
      <x:c r="B23" s="190" t="n">
        <x:f>COUNTIF('2. Detailed Audit Log'!C:C,A23)</x:f>
        <x:v>3</x:v>
      </x:c>
      <x:c r="C23" s="190" t="str">
        <x:v>≥ 1</x:v>
      </x:c>
      <x:c r="D23" s="184"/>
      <x:c r="E23" s="184"/>
      <x:c r="F23" s="183"/>
      <x:c r="G23" s="183"/>
      <x:c r="H23" s="183"/>
    </x:row>
    <x:row r="24">
      <x:c r="A24" s="191" t="str">
        <x:v>Pattern Recognition</x:v>
      </x:c>
      <x:c r="B24" s="194" t="n">
        <x:f>COUNTIF('2. Detailed Audit Log'!C:C,A24)</x:f>
        <x:v>3</x:v>
      </x:c>
      <x:c r="C24" s="194" t="str">
        <x:v>≥ 1</x:v>
      </x:c>
      <x:c r="D24" s="184"/>
      <x:c r="E24" s="184"/>
      <x:c r="F24" s="183"/>
      <x:c r="G24" s="183"/>
      <x:c r="H24" s="183"/>
    </x:row>
    <x:row r="25">
      <x:c r="A25" s="191" t="str">
        <x:v>Abstraction</x:v>
      </x:c>
      <x:c r="B25" s="194" t="n">
        <x:f>COUNTIF('2. Detailed Audit Log'!C:C,A25)</x:f>
        <x:v>4</x:v>
      </x:c>
      <x:c r="C25" s="194" t="str">
        <x:v>≥ 1</x:v>
      </x:c>
      <x:c r="D25" s="184"/>
      <x:c r="E25" s="184"/>
      <x:c r="F25" s="183"/>
      <x:c r="G25" s="183"/>
      <x:c r="H25" s="183"/>
    </x:row>
    <x:row r="26">
      <x:c r="A26" s="191" t="str">
        <x:v>Algorithms</x:v>
      </x:c>
      <x:c r="B26" s="194" t="n">
        <x:f>COUNTIF('2. Detailed Audit Log'!C:C,A26)</x:f>
        <x:v>2</x:v>
      </x:c>
      <x:c r="C26" s="194" t="str">
        <x:v>≥ 1</x:v>
      </x:c>
      <x:c r="D26" s="184"/>
      <x:c r="E26" s="184"/>
      <x:c r="F26" s="183"/>
      <x:c r="G26" s="183"/>
      <x:c r="H26" s="183"/>
    </x:row>
    <x:row r="27">
      <x:c r="A27" s="191"/>
      <x:c r="B27" s="195"/>
      <x:c r="C27" s="195"/>
      <x:c r="D27" s="183"/>
      <x:c r="E27" s="183"/>
      <x:c r="F27" s="183"/>
      <x:c r="G27" s="183"/>
      <x:c r="H27" s="183"/>
    </x:row>
    <x:row r="28">
      <x:c r="A28" s="183"/>
      <x:c r="B28" s="183"/>
      <x:c r="C28" s="183"/>
      <x:c r="D28" s="183"/>
      <x:c r="E28" s="183"/>
      <x:c r="F28" s="183"/>
      <x:c r="G28" s="183"/>
      <x:c r="H28" s="183"/>
    </x:row>
    <x:row r="29">
      <x:c r="A29" s="183"/>
      <x:c r="B29" s="183"/>
      <x:c r="C29" s="183"/>
      <x:c r="D29" s="183"/>
      <x:c r="E29" s="183"/>
      <x:c r="F29" s="183"/>
      <x:c r="G29" s="183"/>
      <x:c r="H29" s="183"/>
    </x:row>
    <x:row r="30">
      <x:c r="A30" s="183"/>
      <x:c r="B30" s="183"/>
      <x:c r="C30" s="183"/>
      <x:c r="D30" s="183"/>
      <x:c r="E30" s="183"/>
      <x:c r="F30" s="183"/>
      <x:c r="G30" s="183"/>
      <x:c r="H30" s="183"/>
    </x:row>
    <x:row r="31">
      <x:c r="A31" s="183"/>
      <x:c r="B31" s="183"/>
      <x:c r="C31" s="183"/>
      <x:c r="D31" s="183"/>
      <x:c r="E31" s="183"/>
      <x:c r="F31" s="183"/>
      <x:c r="G31" s="183"/>
      <x:c r="H31" s="183"/>
    </x:row>
    <x:row r="32">
      <x:c r="A32" s="183"/>
      <x:c r="B32" s="183"/>
      <x:c r="C32" s="183"/>
      <x:c r="D32" s="183"/>
      <x:c r="E32" s="183"/>
      <x:c r="F32" s="183"/>
      <x:c r="G32" s="183"/>
      <x:c r="H32" s="183"/>
    </x:row>
    <x:row r="33">
      <x:c r="A33" s="183"/>
      <x:c r="B33" s="183"/>
      <x:c r="C33" s="183"/>
      <x:c r="D33" s="183"/>
      <x:c r="E33" s="183"/>
      <x:c r="F33" s="183"/>
      <x:c r="G33" s="183"/>
      <x:c r="H33" s="183"/>
    </x:row>
    <x:row r="34">
      <x:c r="A34" s="183"/>
      <x:c r="B34" s="183"/>
      <x:c r="C34" s="183"/>
      <x:c r="D34" s="183"/>
      <x:c r="E34" s="183"/>
      <x:c r="F34" s="183"/>
      <x:c r="G34" s="183"/>
      <x:c r="H34" s="183"/>
    </x:row>
    <x:row r="35">
      <x:c r="A35" s="183"/>
      <x:c r="B35" s="183"/>
      <x:c r="C35" s="183"/>
      <x:c r="D35" s="183"/>
      <x:c r="E35" s="183"/>
      <x:c r="F35" s="183"/>
      <x:c r="G35" s="183"/>
      <x:c r="H35" s="183"/>
    </x:row>
    <x:row r="36">
      <x:c r="A36" s="183"/>
      <x:c r="B36" s="183"/>
      <x:c r="C36" s="183"/>
      <x:c r="D36" s="183"/>
      <x:c r="E36" s="183"/>
      <x:c r="F36" s="183"/>
      <x:c r="G36" s="183"/>
      <x:c r="H36" s="183"/>
    </x:row>
    <x:row r="37">
      <x:c r="A37" s="183"/>
      <x:c r="B37" s="183"/>
      <x:c r="C37" s="183"/>
      <x:c r="D37" s="183"/>
      <x:c r="E37" s="183"/>
      <x:c r="F37" s="183"/>
      <x:c r="G37" s="183"/>
      <x:c r="H37" s="183"/>
    </x:row>
    <x:row r="38">
      <x:c r="A38" s="183"/>
      <x:c r="B38" s="183"/>
      <x:c r="C38" s="183"/>
      <x:c r="D38" s="183"/>
      <x:c r="E38" s="183"/>
      <x:c r="F38" s="183"/>
      <x:c r="G38" s="183"/>
      <x:c r="H38" s="183"/>
    </x:row>
    <x:row r="39">
      <x:c r="A39" s="183"/>
      <x:c r="B39" s="183"/>
      <x:c r="C39" s="183"/>
      <x:c r="D39" s="183"/>
      <x:c r="E39" s="183"/>
      <x:c r="F39" s="183"/>
      <x:c r="G39" s="183"/>
      <x:c r="H39" s="183"/>
    </x:row>
    <x:row r="40">
      <x:c r="A40" s="183"/>
      <x:c r="B40" s="183"/>
      <x:c r="C40" s="183"/>
      <x:c r="D40" s="183"/>
      <x:c r="E40" s="183"/>
      <x:c r="F40" s="183"/>
      <x:c r="G40" s="183"/>
      <x:c r="H40" s="183"/>
    </x:row>
    <x:row r="41">
      <x:c r="A41" s="183"/>
      <x:c r="B41" s="183"/>
      <x:c r="C41" s="183"/>
      <x:c r="D41" s="183"/>
      <x:c r="E41" s="183"/>
      <x:c r="F41" s="183"/>
      <x:c r="G41" s="183"/>
      <x:c r="H41" s="183"/>
    </x:row>
    <x:row r="42">
      <x:c r="A42" s="183"/>
      <x:c r="B42" s="183"/>
      <x:c r="C42" s="183"/>
      <x:c r="D42" s="183"/>
      <x:c r="E42" s="183"/>
      <x:c r="F42" s="183"/>
      <x:c r="G42" s="183"/>
      <x:c r="H42" s="183"/>
    </x:row>
    <x:row r="43">
      <x:c r="A43" s="183"/>
      <x:c r="B43" s="183"/>
      <x:c r="C43" s="183"/>
      <x:c r="D43" s="183"/>
      <x:c r="E43" s="183"/>
      <x:c r="F43" s="183"/>
      <x:c r="G43" s="183"/>
      <x:c r="H43" s="183"/>
    </x:row>
    <x:row r="44">
      <x:c r="A44" s="183"/>
      <x:c r="B44" s="183"/>
      <x:c r="C44" s="183"/>
      <x:c r="D44" s="183"/>
      <x:c r="E44" s="183"/>
      <x:c r="F44" s="183"/>
      <x:c r="G44" s="183"/>
      <x:c r="H44" s="183"/>
    </x:row>
    <x:row r="45">
      <x:c r="A45" s="183"/>
      <x:c r="B45" s="183"/>
      <x:c r="C45" s="183"/>
      <x:c r="D45" s="183"/>
      <x:c r="E45" s="183"/>
      <x:c r="F45" s="183"/>
      <x:c r="G45" s="183"/>
      <x:c r="H45" s="183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399999618530273"/>
  <x:cols>
    <x:col min="1" max="1" width="8" hidden="0" customWidth="1"/>
    <x:col min="2" max="3" width="18" customWidth="1"/>
    <x:col min="4" max="4" width="30" hidden="0" customWidth="1"/>
    <x:col min="5" max="5" width="36" hidden="0" customWidth="1"/>
    <x:col min="6" max="6" width="40" hidden="0" customWidth="1"/>
    <x:col min="7" max="7" width="54" hidden="0" customWidth="1"/>
    <x:col min="8" max="8" width="28" hidden="0" customWidth="1"/>
    <x:col min="2" max="2" width="16" hidden="0" customWidth="1"/>
    <x:col min="3" max="3" width="18" hidden="0" customWidth="1"/>
  </x:cols>
  <x:sheetData>
    <x:row r="1" ht="24" customHeight="1">
      <x:c r="A1" s="210" t="str">
        <x:v>DETAILED AI AUDIT LOG</x:v>
      </x:c>
      <x:c r="B1" s="211"/>
      <x:c r="C1" s="211"/>
      <x:c r="D1" s="211"/>
      <x:c r="E1" s="211"/>
      <x:c r="F1" s="211"/>
      <x:c r="G1" s="211"/>
      <x:c r="H1" s="211"/>
      <x:c r="I1" s="183"/>
    </x:row>
    <x:row r="2" ht="30" customHeight="1">
      <x:c r="A2" s="212" t="str">
        <x:v>INSTRUCTIONS: Chỉ ghi CORE PROMPTS (Decision/Problem-Solving/Verification). Mỗi entry phải trả lời đầy đủ 4 câu hỏi trong Human Delta.</x:v>
      </x:c>
      <x:c r="B2" s="213"/>
      <x:c r="C2" s="213"/>
      <x:c r="D2" s="213"/>
      <x:c r="E2" s="213"/>
      <x:c r="F2" s="213"/>
      <x:c r="G2" s="213"/>
      <x:c r="H2" s="213"/>
      <x:c r="I2" s="183"/>
    </x:row>
    <x:row r="3" ht="40.04999923706055" customHeight="1">
      <x:c r="A3" s="77" t="str">
        <x:v>Entry #</x:v>
      </x:c>
      <x:c r="B3" s="77" t="str">
        <x:v>Prompt Type</x:v>
      </x:c>
      <x:c r="C3" s="77" t="str">
        <x:v>Stage/Component</x:v>
      </x:c>
      <x:c r="D3" s="77" t="str">
        <x:v>Problem/Context</x:v>
      </x:c>
      <x:c r="E3" s="77" t="str">
        <x:v>Prompt to AI</x:v>
      </x:c>
      <x:c r="F3" s="77" t="str">
        <x:v>AI Response (Summary)</x:v>
      </x:c>
      <x:c r="G3" s="77" t="str">
        <x:v>Human Delta &amp; Reflection</x:v>
      </x:c>
      <x:c r="H3" s="77" t="str">
        <x:v>Evidence</x:v>
      </x:c>
      <x:c r="I3" s="183"/>
    </x:row>
    <x:row r="4" ht="135" customHeight="1">
      <x:c r="A4" s="246" t="str">
        <x:v>001</x:v>
      </x:c>
      <x:c r="B4" s="246" t="str">
        <x:v>DECISION</x:v>
      </x:c>
      <x:c r="C4" s="246" t="str">
        <x:v>Decomposition</x:v>
      </x:c>
      <x:c r="D4" s="246" t="str">
        <x:v>Cần hiểu đề SWR Week 3 về gym dùng RFID wristband để quản lý check-in, thanh toán và sử dụng facility.</x:v>
      </x:c>
      <x:c r="E4" s="246" t="str">
        <x:v>Analyze this SWR case about Member Tracking System and break it into main actors, functions, and system scope.</x:v>
      </x:c>
      <x:c r="F4" s="246" t="str">
        <x:v>AI identified main flows: sell membership package, issue RFID wristband, validate at entrance, check access rights, process payments, record facility usage, and support standard/premium membership rules.</x:v>
      </x:c>
      <x:c r="G4" s="246" t="str">
        <x:v>Critical Thinking: AI liệt kê khá nhiều chức năng, nhưng không phải chức năng nào cũng cần đưa vào sơ đồ chính.
Contextualization: Đề thi yêu cầu tập trung vào SRS/use case/context/swimlane, không phải thiết kế database hay code.
Creative Synthesis: Tôi gom requirement thành các nhóm: membership sale, wristband issuance, entry validation, facility access, payment, report/log.
Decision: Chọn các nhóm này vì bao phủ đúng đề mà vẫn đủ gọn để vẽ trong thời gian kiểm tra.</x:v>
      </x:c>
      <x:c r="H4" s="246" t="str">
        <x:v>Requirement highlight + actor/function list</x:v>
      </x:c>
      <x:c r="I4" s="183"/>
    </x:row>
    <x:row r="5" ht="135" customHeight="1">
      <x:c r="A5" s="191" t="str">
        <x:v>002</x:v>
      </x:c>
      <x:c r="B5" s="191" t="str">
        <x:v>DECISION</x:v>
      </x:c>
      <x:c r="C5" s="191" t="str">
        <x:v>Abstraction</x:v>
      </x:c>
      <x:c r="D5" s="191" t="str">
        <x:v>Chưa hiểu phần Q1 trong đề SRS yêu cầu điền gì ở các placeholder như &lt;Project&gt;, &lt;author&gt;, &lt;organization&gt;, &lt;date created&gt;.</x:v>
      </x:c>
      <x:c r="E5" s="191" t="str">
        <x:v>Explain what Q1 means in the SRS cover page template and what I should replace in each placeholder.</x:v>
      </x:c>
      <x:c r="F5" s="191" t="str">
        <x:v>AI explained that the student must replace the project name, full name/student ID, FU campus, and exam date instead of keeping the template text.</x:v>
      </x:c>
      <x:c r="G5" s="191" t="str">
        <x:v>Critical Thinking: AI chỉ giải thích cấu trúc, tôi vẫn phải kiểm tra đúng thông tin cá nhân/campus/date của mình.
Contextualization: Đây là câu điểm nhỏ nhưng dễ mất điểm nếu để nguyên placeholder.
Creative Synthesis: Tôi tạo bản cover page ngắn gọn: project name + prepared by + organization + date.
Decision: Điền đầy đủ thông tin thay vì copy nguyên template để đáp ứng rubric.</x:v>
      </x:c>
      <x:c r="H5" s="191" t="str">
        <x:v>Completed SRS cover page</x:v>
      </x:c>
      <x:c r="I5" s="183"/>
    </x:row>
    <x:row r="6" ht="135" customHeight="1">
      <x:c r="A6" s="246" t="str">
        <x:v>003</x:v>
      </x:c>
      <x:c r="B6" s="246" t="str">
        <x:v>PROBLEM-SOLVING</x:v>
      </x:c>
      <x:c r="C6" s="246" t="str">
        <x:v>Pattern Recognition</x:v>
      </x:c>
      <x:c r="D6" s="246" t="str">
        <x:v>Cần vẽ context diagram cho Member Tracking System, nhưng ban đầu sơ đồ trung tâm bị vẽ dạng hình chữ nhật và quá nhiều luồng.</x:v>
      </x:c>
      <x:c r="E6" s="246" t="str">
        <x:v>Redraw the context diagram with a central circle, not a rectangle, and keep it concise. Export as draw.io XML.</x:v>
      </x:c>
      <x:c r="F6" s="246" t="str">
        <x:v>AI generated a context diagram XML with the system as one central process and external entities around it.</x:v>
      </x:c>
      <x:c r="G6" s="246" t="str">
        <x:v>Critical Thinking: AI có xu hướng thêm quá nhiều data flow làm sơ đồ rối.
Contextualization: Context diagram chỉ cần một process trung tâm và các external entities chính, không cần data store.
Creative Synthesis: Tôi giữ Member, Reception Staff, Payment Service, RFID Reader/Gate or Facility Service as external interactions and lược bớt chi tiết nhỏ.
Decision: Dùng bản XML ngắn gọn để dễ nhập vào diagrams.net và dễ trình bày.</x:v>
      </x:c>
      <x:c r="H6" s="246" t="str">
        <x:v>draw.io XML file + final context diagram screenshot</x:v>
      </x:c>
      <x:c r="I6" s="183"/>
    </x:row>
    <x:row r="7" ht="135" customHeight="1">
      <x:c r="A7" s="191" t="str">
        <x:v>004</x:v>
      </x:c>
      <x:c r="B7" s="191" t="str">
        <x:v>PROBLEM-SOLVING</x:v>
      </x:c>
      <x:c r="C7" s="191" t="str">
        <x:v>Decomposition</x:v>
      </x:c>
      <x:c r="D7" s="191" t="str">
        <x:v>Cần vẽ use case diagram cho Ticket Purchase / Wristband Issuance nhưng phải tránh quá nhiều include làm diagram rối.</x:v>
      </x:c>
      <x:c r="E7" s="191" t="str">
        <x:v>Draw a use case diagram for ticket/membership purchase and wristband issuance. Can you simplify the include relationships?</x:v>
      </x:c>
      <x:c r="F7" s="191" t="str">
        <x:v>AI suggested use cases such as Sell Membership Package, Select Package Type, Process Payment, Issue RFID Wristband, Activate Membership, Print/Send Receipt.</x:v>
      </x:c>
      <x:c r="G7" s="191" t="str">
        <x:v>Critical Thinking: Không nên include mọi bước nhỏ vì sẽ biến use case thành flowchart.
Contextualization: Trong UML, include chỉ dùng cho hành vi bắt buộc/tái sử dụng; nhiều bước có thể nằm trong mô tả use case.
Creative Synthesis: Tôi chỉ giữ include quan trọng: Process Payment và Issue/Activate RFID Wristband.
Decision: Lược bớt include phụ để diagram sạch hơn và ít bị giáo viên bắt bẻ.</x:v>
      </x:c>
      <x:c r="H7" s="191" t="str">
        <x:v>Use case diagram version before/after simplifying &lt;&lt;include&gt;&gt;</x:v>
      </x:c>
      <x:c r="I7" s="183"/>
    </x:row>
    <x:row r="8" ht="135" customHeight="1">
      <x:c r="A8" s="246" t="str">
        <x:v>005</x:v>
      </x:c>
      <x:c r="B8" s="246" t="str">
        <x:v>DECISION</x:v>
      </x:c>
      <x:c r="C8" s="246" t="str">
        <x:v>Abstraction</x:v>
      </x:c>
      <x:c r="D8" s="246" t="str">
        <x:v>Phân vân có nên để RFID Reader và Entrance Gate là actor trong use case diagram hay không.</x:v>
      </x:c>
      <x:c r="E8" s="246" t="str">
        <x:v>Can I remove RFID and entrance gate actors from the use case diagram? Are they actors or internal devices?</x:v>
      </x:c>
      <x:c r="F8" s="246" t="str">
        <x:v>AI explained that RFID Reader/Gate can be removed as actors if the diagram focuses on human/external business actors; they can be shown as device notes or system components instead.</x:v>
      </x:c>
      <x:c r="G8" s="246" t="str">
        <x:v>Critical Thinking: Nếu coi thiết bị là actor thì diagram dễ bị sai vì thiết bị không có mục tiêu nghiệp vụ như người dùng.
Contextualization: Đề nói RFID readers check wristbands, nhưng hệ thống mới là bên xử lý validation.
Creative Synthesis: Tôi giữ Staff/Member/Payment Service làm actor chính và mô tả RFID/Gate trong use case or swimlane.
Decision: Bỏ RFID Reader và Entrance Gate khỏi use case diagram để chuẩn UML hơn.</x:v>
      </x:c>
      <x:c r="H8" s="246" t="str">
        <x:v>Revised actor list + use case diagram</x:v>
      </x:c>
      <x:c r="I8" s="183"/>
    </x:row>
    <x:row r="9" ht="135" customHeight="1">
      <x:c r="A9" s="191" t="str">
        <x:v>006</x:v>
      </x:c>
      <x:c r="B9" s="191" t="str">
        <x:v>PROBLEM-SOLVING</x:v>
      </x:c>
      <x:c r="C9" s="191" t="str">
        <x:v>Algorithms</x:v>
      </x:c>
      <x:c r="D9" s="191" t="str">
        <x:v>Cần vẽ swimlane diagram cho quy trình bán gói thành viên và phát hành vòng RFID.</x:v>
      </x:c>
      <x:c r="E9" s="191" t="str">
        <x:v>Create a swimlane diagram for Ticket Purchase and Wristband Issuance with lanes for Customer, Staff, System, and Payment Service.</x:v>
      </x:c>
      <x:c r="F9" s="191" t="str">
        <x:v>AI proposed sequential activities: customer requests package, staff selects package, system calculates price, customer pays, payment is verified, system creates membership, issues/activates RFID wristband, and sends receipt.</x:v>
      </x:c>
      <x:c r="G9" s="191" t="str">
        <x:v>Critical Thinking: AI flow ban đầu chưa thể hiện rõ nhánh payment failed.
Contextualization: Trong thực tế, chỉ phát hành wristband sau khi thanh toán thành công.
Creative Synthesis: Tôi thêm decision node: payment successful? Yes → issue wristband; No → cancel/retry payment.
Decision: Dùng flow có nhánh lỗi để swimlane đúng logic nghiệp vụ hơn.</x:v>
      </x:c>
      <x:c r="H9" s="191" t="str">
        <x:v>Swimlane diagram with payment success/failure decision</x:v>
      </x:c>
      <x:c r="I9" s="183"/>
    </x:row>
    <x:row r="10" ht="135" customHeight="1">
      <x:c r="A10" s="246" t="str">
        <x:v>007</x:v>
      </x:c>
      <x:c r="B10" s="246" t="str">
        <x:v>VERIFICATION</x:v>
      </x:c>
      <x:c r="C10" s="246" t="str">
        <x:v>Pattern Recognition</x:v>
      </x:c>
      <x:c r="D10" s="246" t="str">
        <x:v>Cần kiểm tra quan hệ include/extend trong use case trước khi nộp.</x:v>
      </x:c>
      <x:c r="E10" s="246" t="str">
        <x:v>Review my include/extend relationships for the wristband membership use case diagram and tell me what should be removed.</x:v>
      </x:c>
      <x:c r="F10" s="246" t="str">
        <x:v>AI warned that overusing include makes the diagram hard to read; optional or failure behavior should be modeled as extend or described in the use case specification.</x:v>
      </x:c>
      <x:c r="G10" s="246" t="str">
        <x:v>Critical Thinking: Tôi không chấp nhận toàn bộ gợi ý AI mà đối chiếu lại từng quan hệ với ý nghĩa UML.
Contextualization: Sell Membership Package không nhất thiết phải include từng thao tác nhập thông tin nhỏ.
Creative Synthesis: Tôi chuyển một số hành vi như payment failed/invalid wristband sang alternate flow hoặc extend.
Decision: Giữ diagram ở mức nghiệp vụ, không mô tả quá chi tiết như thuật toán.</x:v>
      </x:c>
      <x:c r="H10" s="246" t="str">
        <x:v>Annotated UML relationship checklist</x:v>
      </x:c>
      <x:c r="I10" s="183"/>
    </x:row>
    <x:row r="11" ht="135" customHeight="1">
      <x:c r="A11" s="191" t="str">
        <x:v>008</x:v>
      </x:c>
      <x:c r="B11" s="191" t="str">
        <x:v>DECISION</x:v>
      </x:c>
      <x:c r="C11" s="191" t="str">
        <x:v>Decomposition</x:v>
      </x:c>
      <x:c r="D11" s="191" t="str">
        <x:v>Cần phân biệt context diagram với DFD/use case để không vẽ nhầm loại sơ đồ.</x:v>
      </x:c>
      <x:c r="E11" s="191" t="str">
        <x:v>Explain the difference between context diagram, DFD level 0, and use case diagram for this SWR case.</x:v>
      </x:c>
      <x:c r="F11" s="191" t="str">
        <x:v>AI summarized: context diagram shows one system process and external data flows; DFD decomposes processes/data stores; use case diagram shows actors and goals.</x:v>
      </x:c>
      <x:c r="G11" s="191" t="str">
        <x:v>Critical Thinking: AI giải thích đúng nhưng vẫn cần áp dụng theo yêu cầu đề cụ thể.
Contextualization: Week 3 chỉ cần chọn đúng sơ đồ được yêu cầu, không nhét data store vào context diagram.
Creative Synthesis: Tôi tách riêng: context = luồng dữ liệu tổng quan; use case = mục tiêu actor; swimlane = quy trình theo vai trò.
Decision: Vẽ từng sơ đồ đúng mục đích để tránh trùng lặp và bị mất điểm.</x:v>
      </x:c>
      <x:c r="H11" s="191" t="str">
        <x:v>Comparison notes used before redrawing diagrams</x:v>
      </x:c>
      <x:c r="I11" s="183"/>
    </x:row>
    <x:row r="12" ht="135" customHeight="1">
      <x:c r="A12" s="246" t="str">
        <x:v>009</x:v>
      </x:c>
      <x:c r="B12" s="246" t="str">
        <x:v>PROBLEM-SOLVING</x:v>
      </x:c>
      <x:c r="C12" s="246" t="str">
        <x:v>Abstraction</x:v>
      </x:c>
      <x:c r="D12" s="246" t="str">
        <x:v>Tên use case ban đầu còn lẫn giữa ticket, package, membership và wristband.</x:v>
      </x:c>
      <x:c r="E12" s="246" t="str">
        <x:v>Suggest clearer use case names for a gym RFID wristband Member Tracking System.</x:v>
      </x:c>
      <x:c r="F12" s="246" t="str">
        <x:v>AI suggested verb-object names: Sell Membership Package, Register Member, Process Payment, Issue RFID Wristband, Validate Wristband, Track Facility Usage, Check Access Permission.</x:v>
      </x:c>
      <x:c r="G12" s="246" t="str">
        <x:v>Critical Thinking: Một số tên AI gợi ý vẫn hơi rộng như Track Facility Usage.
Contextualization: Đề tập trung vào gói standard/premium và vòng RFID, nên tên cần sát nghiệp vụ gym.
Creative Synthesis: Tôi đổi 'Sell Ticket' thành 'Sell Membership Package' và 'Issue Wristband' thành 'Issue RFID Wristband'.
Decision: Dùng tên use case dạng động từ + danh từ để đúng chuẩn và dễ hiểu.</x:v>
      </x:c>
      <x:c r="H12" s="246" t="str">
        <x:v>Final use case name list</x:v>
      </x:c>
      <x:c r="I12" s="183"/>
    </x:row>
    <x:row r="13" ht="135" customHeight="1">
      <x:c r="A13" s="191" t="str">
        <x:v>010</x:v>
      </x:c>
      <x:c r="B13" s="191" t="str">
        <x:v>VERIFICATION</x:v>
      </x:c>
      <x:c r="C13" s="191" t="str">
        <x:v>Pattern Recognition</x:v>
      </x:c>
      <x:c r="D13" s="191" t="str">
        <x:v>AI có lúc hiểu nhầm hệ thống thành Ticket Tracking System thay vì Member Tracking System.</x:v>
      </x:c>
      <x:c r="E13" s="191" t="str">
        <x:v>Check whether the system name and scope should be Ticket Tracking System or Member Tracking System based on the exam text.</x:v>
      </x:c>
      <x:c r="F13" s="191" t="str">
        <x:v>AI correction: the system should be Member Tracking System because the case is about gym members, membership packages, RFID wristbands, and facility usage.</x:v>
      </x:c>
      <x:c r="G13" s="191" t="str">
        <x:v>Critical Thinking: HALLUCINATION DETECTED: tên 'Ticket Tracking System' không đúng với đề gốc.
Contextualization: Nếu dùng sai tên hệ thống, SRS và diagram sẽ lệch scope.
Creative Synthesis: Tôi chuẩn hóa tất cả title/system boundary thành Member Tracking System.
Decision: Sửa tên hệ thống và các use case liên quan trước khi xuất file XML.</x:v>
      </x:c>
      <x:c r="H13" s="191" t="str">
        <x:v>System title correction in SRS/context diagram</x:v>
      </x:c>
      <x:c r="I13" s="183"/>
    </x:row>
    <x:row r="14" ht="135" customHeight="1">
      <x:c r="A14" s="246" t="str">
        <x:v>011</x:v>
      </x:c>
      <x:c r="B14" s="246" t="str">
        <x:v>VERIFICATION</x:v>
      </x:c>
      <x:c r="C14" s="246" t="str">
        <x:v>Abstraction</x:v>
      </x:c>
      <x:c r="D14" s="246" t="str">
        <x:v>AI đề xuất để Entrance Gate và RFID Reader làm actor, nhưng tôi cần kiểm tra lại chuẩn UML.</x:v>
      </x:c>
      <x:c r="E14" s="246" t="str">
        <x:v>Verify whether RFID Reader and Entrance Gate should be modeled as actors in the use case diagram.</x:v>
      </x:c>
      <x:c r="F14" s="246" t="str">
        <x:v>AI acknowledged that these can be considered hardware interactions, but for a clean business use case diagram they are better treated as system devices/notes, not primary actors.</x:v>
      </x:c>
      <x:c r="G14" s="246" t="str">
        <x:v>Critical Thinking: HALLUCINATION/LOGIC ISSUE DETECTED: actor phải có goal tương tác với system; hardware không phải actor nghiệp vụ chính trong bài này.
Contextualization: Đề chỉ nói thiết bị đọc wristband ở cổng; người/hệ thống bên ngoài quan trọng hơn.
Creative Synthesis: Tôi bỏ chúng khỏi actor list và chuyển sang mô tả trong swimlane/context data flow.
Decision: Diagram cuối chỉ giữ actor có vai trò rõ ràng.</x:v>
      </x:c>
      <x:c r="H14" s="246" t="str">
        <x:v>Actor cleanup note + final diagram</x:v>
      </x:c>
      <x:c r="I14" s="183"/>
    </x:row>
    <x:row r="15" ht="135" customHeight="1">
      <x:c r="A15" s="191" t="str">
        <x:v>012</x:v>
      </x:c>
      <x:c r="B15" s="191" t="str">
        <x:v>VERIFICATION</x:v>
      </x:c>
      <x:c r="C15" s="191" t="str">
        <x:v>Algorithms</x:v>
      </x:c>
      <x:c r="D15" s="191" t="str">
        <x:v>Cần đảm bảo logic kiểm tra vòng RFID không chỉ kiểm tra 'valid' mà còn đúng gói membership standard/premium.</x:v>
      </x:c>
      <x:c r="E15" s="191" t="str">
        <x:v>Check if the access validation flow is complete for standard and premium membership packages.</x:v>
      </x:c>
      <x:c r="F15" s="191" t="str">
        <x:v>AI initially summarized access as 'valid wristband opens gate', then refined it to include expiration date, membership type, standard limits, and premium unlimited/priority rules.</x:v>
      </x:c>
      <x:c r="G15" s="191" t="str">
        <x:v>Critical Thinking: HALLUCINATION/OVERSIMPLIFICATION DETECTED: chỉ kiểm tra valid wristband là chưa đủ theo đề.
Contextualization: Standard members have limited access; premium members have unlimited access and priority booking.
Creative Synthesis: Tôi thêm decision: wristband active? expired? membership type? limit remaining? facility allowed?
Decision: Swimlane/use case specification phản ánh đầy đủ business rules hơn.</x:v>
      </x:c>
      <x:c r="H15" s="191" t="str">
        <x:v>Requirement traceability notes + revised validation decision nodes</x:v>
      </x:c>
      <x:c r="I15" s="183"/>
    </x:row>
    <x:row r="16" ht="79.94999694824219" customHeight="1">
      <x:c r="A16" s="191"/>
      <x:c r="B16" s="191"/>
      <x:c r="C16" s="191"/>
      <x:c r="D16" s="191"/>
      <x:c r="E16" s="191"/>
      <x:c r="F16" s="191"/>
      <x:c r="G16" s="191"/>
      <x:c r="H16" s="191"/>
      <x:c r="I16" s="183"/>
    </x:row>
    <x:row r="17" ht="79.94999694824219" customHeight="1">
      <x:c r="A17" s="191"/>
      <x:c r="B17" s="191"/>
      <x:c r="C17" s="191"/>
      <x:c r="D17" s="191"/>
      <x:c r="E17" s="191"/>
      <x:c r="F17" s="191"/>
      <x:c r="G17" s="191"/>
      <x:c r="H17" s="191"/>
      <x:c r="I17" s="183"/>
    </x:row>
    <x:row r="18" ht="79.94999694824219" customHeight="1">
      <x:c r="A18" s="191"/>
      <x:c r="B18" s="191"/>
      <x:c r="C18" s="191"/>
      <x:c r="D18" s="191"/>
      <x:c r="E18" s="191"/>
      <x:c r="F18" s="191"/>
      <x:c r="G18" s="191"/>
      <x:c r="H18" s="191"/>
      <x:c r="I18" s="183"/>
    </x:row>
    <x:row r="19" ht="79.94999694824219" customHeight="1">
      <x:c r="A19" s="191"/>
      <x:c r="B19" s="191"/>
      <x:c r="C19" s="191"/>
      <x:c r="D19" s="191"/>
      <x:c r="E19" s="191"/>
      <x:c r="F19" s="191"/>
      <x:c r="G19" s="191"/>
      <x:c r="H19" s="191"/>
      <x:c r="I19" s="183"/>
    </x:row>
    <x:row r="20" ht="79.94999694824219" customHeight="1">
      <x:c r="A20" s="191"/>
      <x:c r="B20" s="191"/>
      <x:c r="C20" s="191"/>
      <x:c r="D20" s="191"/>
      <x:c r="E20" s="191"/>
      <x:c r="F20" s="191"/>
      <x:c r="G20" s="191"/>
      <x:c r="H20" s="191"/>
      <x:c r="I20" s="183"/>
    </x:row>
    <x:row r="21" ht="79.94999694824219" customHeight="1">
      <x:c r="A21" s="191"/>
      <x:c r="B21" s="191"/>
      <x:c r="C21" s="191"/>
      <x:c r="D21" s="191"/>
      <x:c r="E21" s="191"/>
      <x:c r="F21" s="191"/>
      <x:c r="G21" s="191"/>
      <x:c r="H21" s="191"/>
      <x:c r="I21" s="183"/>
    </x:row>
    <x:row r="22" ht="79.94999694824219" customHeight="1">
      <x:c r="A22" s="191"/>
      <x:c r="B22" s="191"/>
      <x:c r="C22" s="191"/>
      <x:c r="D22" s="191"/>
      <x:c r="E22" s="191"/>
      <x:c r="F22" s="191"/>
      <x:c r="G22" s="191"/>
      <x:c r="H22" s="191"/>
      <x:c r="I22" s="183"/>
    </x:row>
    <x:row r="23" ht="79.94999694824219" customHeight="1">
      <x:c r="A23" s="191"/>
      <x:c r="B23" s="191"/>
      <x:c r="C23" s="191"/>
      <x:c r="D23" s="191"/>
      <x:c r="E23" s="191"/>
      <x:c r="F23" s="191"/>
      <x:c r="G23" s="191"/>
      <x:c r="H23" s="191"/>
      <x:c r="I23" s="183"/>
    </x:row>
    <x:row r="24" ht="79.94999694824219" customHeight="1">
      <x:c r="A24" s="191"/>
      <x:c r="B24" s="191"/>
      <x:c r="C24" s="191"/>
      <x:c r="D24" s="191"/>
      <x:c r="E24" s="191"/>
      <x:c r="F24" s="191"/>
      <x:c r="G24" s="191"/>
      <x:c r="H24" s="191"/>
      <x:c r="I24" s="183"/>
    </x:row>
    <x:row r="25" ht="79.94999694824219" customHeight="1">
      <x:c r="A25" s="191"/>
      <x:c r="B25" s="191"/>
      <x:c r="C25" s="191"/>
      <x:c r="D25" s="191"/>
      <x:c r="E25" s="191"/>
      <x:c r="F25" s="191"/>
      <x:c r="G25" s="191"/>
      <x:c r="H25" s="191"/>
      <x:c r="I25" s="183"/>
    </x:row>
    <x:row r="26" ht="79.94999694824219" customHeight="1">
      <x:c r="A26" s="191"/>
      <x:c r="B26" s="191"/>
      <x:c r="C26" s="191"/>
      <x:c r="D26" s="191"/>
      <x:c r="E26" s="191"/>
      <x:c r="F26" s="191"/>
      <x:c r="G26" s="191"/>
      <x:c r="H26" s="191"/>
      <x:c r="I26" s="183"/>
    </x:row>
    <x:row r="27">
      <x:c r="A27" s="183"/>
      <x:c r="B27" s="183"/>
      <x:c r="C27" s="183"/>
      <x:c r="D27" s="183"/>
      <x:c r="E27" s="183"/>
      <x:c r="F27" s="183"/>
      <x:c r="G27" s="183"/>
      <x:c r="H27" s="183"/>
      <x:c r="I27" s="183"/>
    </x:row>
    <x:row r="28">
      <x:c r="A28" s="183"/>
      <x:c r="B28" s="183"/>
      <x:c r="C28" s="183"/>
      <x:c r="D28" s="183"/>
      <x:c r="E28" s="183"/>
      <x:c r="F28" s="183"/>
      <x:c r="G28" s="183"/>
      <x:c r="H28" s="183"/>
      <x:c r="I28" s="183"/>
    </x:row>
    <x:row r="29">
      <x:c r="A29" s="183"/>
      <x:c r="B29" s="183"/>
      <x:c r="C29" s="183"/>
      <x:c r="D29" s="183"/>
      <x:c r="E29" s="183"/>
      <x:c r="F29" s="183"/>
      <x:c r="G29" s="183"/>
      <x:c r="H29" s="183"/>
      <x:c r="I29" s="183"/>
    </x:row>
    <x:row r="30">
      <x:c r="A30" s="183"/>
      <x:c r="B30" s="183"/>
      <x:c r="C30" s="183"/>
      <x:c r="D30" s="183"/>
      <x:c r="E30" s="183"/>
      <x:c r="F30" s="183"/>
      <x:c r="G30" s="183"/>
      <x:c r="H30" s="183"/>
      <x:c r="I30" s="183"/>
    </x:row>
    <x:row r="31">
      <x:c r="A31" s="183"/>
      <x:c r="B31" s="183"/>
      <x:c r="C31" s="183"/>
      <x:c r="D31" s="183"/>
      <x:c r="E31" s="183"/>
      <x:c r="F31" s="183"/>
      <x:c r="G31" s="183"/>
      <x:c r="H31" s="183"/>
      <x:c r="I31" s="183"/>
    </x:row>
    <x:row r="32">
      <x:c r="A32" s="183"/>
      <x:c r="B32" s="183"/>
      <x:c r="C32" s="183"/>
      <x:c r="D32" s="183"/>
      <x:c r="E32" s="183"/>
      <x:c r="F32" s="183"/>
      <x:c r="G32" s="183"/>
      <x:c r="H32" s="183"/>
      <x:c r="I32" s="183"/>
    </x:row>
    <x:row r="33">
      <x:c r="A33" s="183"/>
      <x:c r="B33" s="183"/>
      <x:c r="C33" s="183"/>
      <x:c r="D33" s="183"/>
      <x:c r="E33" s="183"/>
      <x:c r="F33" s="183"/>
      <x:c r="G33" s="183"/>
      <x:c r="H33" s="183"/>
      <x:c r="I33" s="183"/>
    </x:row>
    <x:row r="34">
      <x:c r="A34" s="183"/>
      <x:c r="B34" s="183"/>
      <x:c r="C34" s="183"/>
      <x:c r="D34" s="183"/>
      <x:c r="E34" s="183"/>
      <x:c r="F34" s="183"/>
      <x:c r="G34" s="183"/>
      <x:c r="H34" s="183"/>
      <x:c r="I34" s="183"/>
    </x:row>
    <x:row r="35">
      <x:c r="A35" s="183"/>
      <x:c r="B35" s="183"/>
      <x:c r="C35" s="183"/>
      <x:c r="D35" s="183"/>
      <x:c r="E35" s="183"/>
      <x:c r="F35" s="183"/>
      <x:c r="G35" s="183"/>
      <x:c r="H35" s="183"/>
      <x:c r="I35" s="183"/>
    </x:row>
    <x:row r="36">
      <x:c r="A36" s="183"/>
      <x:c r="B36" s="183"/>
      <x:c r="C36" s="183"/>
      <x:c r="D36" s="183"/>
      <x:c r="E36" s="183"/>
      <x:c r="F36" s="183"/>
      <x:c r="G36" s="183"/>
      <x:c r="H36" s="183"/>
      <x:c r="I36" s="183"/>
    </x:row>
    <x:row r="37">
      <x:c r="A37" s="183"/>
      <x:c r="B37" s="183"/>
      <x:c r="C37" s="183"/>
      <x:c r="D37" s="183"/>
      <x:c r="E37" s="183"/>
      <x:c r="F37" s="183"/>
      <x:c r="G37" s="183"/>
      <x:c r="H37" s="183"/>
      <x:c r="I37" s="183"/>
    </x:row>
    <x:row r="38">
      <x:c r="A38" s="183"/>
      <x:c r="B38" s="183"/>
      <x:c r="C38" s="183"/>
      <x:c r="D38" s="183"/>
      <x:c r="E38" s="183"/>
      <x:c r="F38" s="183"/>
      <x:c r="G38" s="183"/>
      <x:c r="H38" s="183"/>
      <x:c r="I38" s="183"/>
    </x:row>
    <x:row r="39">
      <x:c r="A39" s="183"/>
      <x:c r="B39" s="183"/>
      <x:c r="C39" s="183"/>
      <x:c r="D39" s="183"/>
      <x:c r="E39" s="183"/>
      <x:c r="F39" s="183"/>
      <x:c r="G39" s="183"/>
      <x:c r="H39" s="183"/>
      <x:c r="I39" s="183"/>
    </x:row>
    <x:row r="40">
      <x:c r="A40" s="183"/>
      <x:c r="B40" s="183"/>
      <x:c r="C40" s="183"/>
      <x:c r="D40" s="183"/>
      <x:c r="E40" s="183"/>
      <x:c r="F40" s="183"/>
      <x:c r="G40" s="183"/>
      <x:c r="H40" s="183"/>
      <x:c r="I40" s="183"/>
    </x:row>
    <x:row r="41">
      <x:c r="A41" s="183"/>
      <x:c r="B41" s="183"/>
      <x:c r="C41" s="183"/>
      <x:c r="D41" s="183"/>
      <x:c r="E41" s="183"/>
      <x:c r="F41" s="183"/>
      <x:c r="G41" s="183"/>
      <x:c r="H41" s="183"/>
      <x:c r="I41" s="183"/>
    </x:row>
    <x:row r="42">
      <x:c r="A42" s="183"/>
      <x:c r="B42" s="183"/>
      <x:c r="C42" s="183"/>
      <x:c r="D42" s="183"/>
      <x:c r="E42" s="183"/>
      <x:c r="F42" s="183"/>
      <x:c r="G42" s="183"/>
      <x:c r="H42" s="183"/>
      <x:c r="I42" s="183"/>
    </x:row>
    <x:row r="43">
      <x:c r="A43" s="183"/>
      <x:c r="B43" s="183"/>
      <x:c r="C43" s="183"/>
      <x:c r="D43" s="183"/>
      <x:c r="E43" s="183"/>
      <x:c r="F43" s="183"/>
      <x:c r="G43" s="183"/>
      <x:c r="H43" s="183"/>
      <x:c r="I43" s="183"/>
    </x:row>
    <x:row r="44">
      <x:c r="A44" s="183"/>
      <x:c r="B44" s="183"/>
      <x:c r="C44" s="183"/>
      <x:c r="D44" s="183"/>
      <x:c r="E44" s="183"/>
      <x:c r="F44" s="183"/>
      <x:c r="G44" s="183"/>
      <x:c r="H44" s="183"/>
      <x:c r="I44" s="183"/>
    </x:row>
    <x:row r="45">
      <x:c r="A45" s="183"/>
      <x:c r="B45" s="183"/>
      <x:c r="C45" s="183"/>
      <x:c r="D45" s="183"/>
      <x:c r="E45" s="183"/>
      <x:c r="F45" s="183"/>
      <x:c r="G45" s="183"/>
      <x:c r="H45" s="183"/>
      <x:c r="I45" s="183"/>
    </x:row>
    <x:row r="46">
      <x:c r="A46" s="183"/>
      <x:c r="B46" s="183"/>
      <x:c r="C46" s="183"/>
      <x:c r="D46" s="183"/>
      <x:c r="E46" s="183"/>
      <x:c r="F46" s="183"/>
      <x:c r="G46" s="183"/>
      <x:c r="H46" s="183"/>
      <x:c r="I46" s="183"/>
    </x:row>
    <x:row r="47">
      <x:c r="A47" s="183"/>
      <x:c r="B47" s="183"/>
      <x:c r="C47" s="183"/>
      <x:c r="D47" s="183"/>
      <x:c r="E47" s="183"/>
      <x:c r="F47" s="183"/>
      <x:c r="G47" s="183"/>
      <x:c r="H47" s="183"/>
      <x:c r="I47" s="183"/>
    </x:row>
    <x:row r="48">
      <x:c r="A48" s="183"/>
      <x:c r="B48" s="183"/>
      <x:c r="C48" s="183"/>
      <x:c r="D48" s="183"/>
      <x:c r="E48" s="183"/>
      <x:c r="F48" s="183"/>
      <x:c r="G48" s="183"/>
      <x:c r="H48" s="183"/>
      <x:c r="I48" s="183"/>
    </x:row>
    <x:row r="49">
      <x:c r="A49" s="183"/>
      <x:c r="B49" s="183"/>
      <x:c r="C49" s="183"/>
      <x:c r="D49" s="183"/>
      <x:c r="E49" s="183"/>
      <x:c r="F49" s="183"/>
      <x:c r="G49" s="183"/>
      <x:c r="H49" s="183"/>
      <x:c r="I49" s="183"/>
    </x:row>
    <x:row r="50">
      <x:c r="A50" s="183"/>
      <x:c r="B50" s="183"/>
      <x:c r="C50" s="183"/>
      <x:c r="D50" s="183"/>
      <x:c r="E50" s="183"/>
      <x:c r="F50" s="183"/>
      <x:c r="G50" s="183"/>
      <x:c r="H50" s="183"/>
      <x:c r="I50" s="183"/>
    </x:row>
    <x:row r="51">
      <x:c r="A51" s="183"/>
      <x:c r="B51" s="183"/>
      <x:c r="C51" s="183"/>
      <x:c r="D51" s="183"/>
      <x:c r="E51" s="183"/>
      <x:c r="F51" s="183"/>
      <x:c r="G51" s="183"/>
      <x:c r="H51" s="183"/>
      <x:c r="I51" s="183"/>
    </x:row>
    <x:row r="52">
      <x:c r="A52" s="183"/>
      <x:c r="B52" s="183"/>
      <x:c r="C52" s="183"/>
      <x:c r="D52" s="183"/>
      <x:c r="E52" s="183"/>
      <x:c r="F52" s="183"/>
      <x:c r="G52" s="183"/>
      <x:c r="H52" s="183"/>
      <x:c r="I52" s="183"/>
    </x:row>
    <x:row r="53">
      <x:c r="A53" s="183"/>
      <x:c r="B53" s="183"/>
      <x:c r="C53" s="183"/>
      <x:c r="D53" s="183"/>
      <x:c r="E53" s="183"/>
      <x:c r="F53" s="183"/>
      <x:c r="G53" s="183"/>
      <x:c r="H53" s="183"/>
      <x:c r="I53" s="183"/>
    </x:row>
    <x:row r="54">
      <x:c r="A54" s="183"/>
      <x:c r="B54" s="183"/>
      <x:c r="C54" s="183"/>
      <x:c r="D54" s="183"/>
      <x:c r="E54" s="183"/>
      <x:c r="F54" s="183"/>
      <x:c r="G54" s="183"/>
      <x:c r="H54" s="183"/>
      <x:c r="I54" s="183"/>
    </x:row>
    <x:row r="55">
      <x:c r="A55" s="183"/>
      <x:c r="B55" s="183"/>
      <x:c r="C55" s="183"/>
      <x:c r="D55" s="183"/>
      <x:c r="E55" s="183"/>
      <x:c r="F55" s="183"/>
      <x:c r="G55" s="183"/>
      <x:c r="H55" s="183"/>
      <x:c r="I55" s="183"/>
    </x:row>
    <x:row r="56">
      <x:c r="A56" s="183"/>
      <x:c r="B56" s="183"/>
      <x:c r="C56" s="183"/>
      <x:c r="D56" s="183"/>
      <x:c r="E56" s="183"/>
      <x:c r="F56" s="183"/>
      <x:c r="G56" s="183"/>
      <x:c r="H56" s="183"/>
      <x:c r="I56" s="183"/>
    </x:row>
    <x:row r="57">
      <x:c r="A57" s="183"/>
      <x:c r="B57" s="183"/>
      <x:c r="C57" s="183"/>
      <x:c r="D57" s="183"/>
      <x:c r="E57" s="183"/>
      <x:c r="F57" s="183"/>
      <x:c r="G57" s="183"/>
      <x:c r="H57" s="183"/>
      <x:c r="I57" s="183"/>
    </x:row>
    <x:row r="58">
      <x:c r="A58" s="183"/>
      <x:c r="B58" s="183"/>
      <x:c r="C58" s="183"/>
      <x:c r="D58" s="183"/>
      <x:c r="E58" s="183"/>
      <x:c r="F58" s="183"/>
      <x:c r="G58" s="183"/>
      <x:c r="H58" s="183"/>
      <x:c r="I58" s="183"/>
    </x:row>
    <x:row r="59">
      <x:c r="A59" s="183"/>
      <x:c r="B59" s="183"/>
      <x:c r="C59" s="183"/>
      <x:c r="D59" s="183"/>
      <x:c r="E59" s="183"/>
      <x:c r="F59" s="183"/>
      <x:c r="G59" s="183"/>
      <x:c r="H59" s="183"/>
      <x:c r="I59" s="183"/>
    </x:row>
    <x:row r="60">
      <x:c r="A60" s="183"/>
      <x:c r="B60" s="183"/>
      <x:c r="C60" s="183"/>
      <x:c r="D60" s="183"/>
      <x:c r="E60" s="183"/>
      <x:c r="F60" s="183"/>
      <x:c r="G60" s="183"/>
      <x:c r="H60" s="183"/>
      <x:c r="I60" s="183"/>
    </x:row>
  </x:sheetData>
  <x:mergeCells>
    <x:mergeCell ref="A2:H2"/>
    <x:mergeCell ref="A1:H1"/>
  </x:mergeCells>
  <x:pageMargins left="0.7" right="0.7" top="0.75" bottom="0.75" header="0.3" footer="0.3"/>
  <x:tableParts count="1">
    <x:tablePart xmlns:r="http://schemas.openxmlformats.org/officeDocument/2006/relationships" r:id="R4680eb8041d24923"/>
  </x:tableParts>
</x:worksheet>
</file>

<file path=xl/worksheets/sheet3.xml><?xml version="1.0" encoding="utf-8"?>
<x:worksheet xmlns:x="http://schemas.openxmlformats.org/spreadsheetml/2006/main">
  <x:sheetFormatPr defaultRowHeight="14.399999618530273"/>
  <x:cols>
    <x:col min="1" max="1" width="13" hidden="0" customWidth="1"/>
    <x:col min="2" max="2" width="28" hidden="0" customWidth="1"/>
    <x:col min="3" max="6" width="30" customWidth="1"/>
    <x:col min="3" max="3" width="38" hidden="0" customWidth="1"/>
    <x:col min="4" max="4" width="42" hidden="0" customWidth="1"/>
    <x:col min="5" max="5" width="36" hidden="0" customWidth="1"/>
    <x:col min="6" max="6" width="42" hidden="0" customWidth="1"/>
  </x:cols>
  <x:sheetData>
    <x:row r="1" ht="24" customHeight="1">
      <x:c r="A1" s="210" t="str">
        <x:v>HALLUCINATION DETECTION LOG (BẮT BUỘC)</x:v>
      </x:c>
      <x:c r="B1" s="211"/>
      <x:c r="C1" s="211"/>
      <x:c r="D1" s="211"/>
      <x:c r="E1" s="211"/>
      <x:c r="F1" s="211"/>
      <x:c r="G1" s="183"/>
      <x:c r="H1" s="183"/>
    </x:row>
    <x:row r="2">
      <x:c r="A2" s="220" t="str">
        <x:v>MỖI PROJECT PHẢI PHÁT HIỆN ÍT NHẤT: Lab (≥1), Assignment (≥2), Project (≥3) cases hallucination</x:v>
      </x:c>
      <x:c r="B2" s="221"/>
      <x:c r="C2" s="221"/>
      <x:c r="D2" s="221"/>
      <x:c r="E2" s="221"/>
      <x:c r="F2" s="221"/>
      <x:c r="G2" s="183"/>
      <x:c r="H2" s="183"/>
    </x:row>
    <x:row r="3" ht="40.04999923706055" customHeight="1">
      <x:c r="A3" s="77" t="str">
        <x:v>Entry # (from Sheet 2)</x:v>
      </x:c>
      <x:c r="B3" s="77" t="str">
        <x:v>Hallucination Type</x:v>
      </x:c>
      <x:c r="C3" s="77" t="str">
        <x:v>AI's Claim</x:v>
      </x:c>
      <x:c r="D3" s="77" t="str">
        <x:v>Reality Check</x:v>
      </x:c>
      <x:c r="E3" s="77" t="str">
        <x:v>How Detected</x:v>
      </x:c>
      <x:c r="F3" s="77" t="str">
        <x:v>Corrective Action</x:v>
      </x:c>
      <x:c r="G3" s="183"/>
      <x:c r="H3" s="183"/>
    </x:row>
    <x:row r="4" ht="115" customHeight="1">
      <x:c r="A4" s="246" t="str">
        <x:v>010</x:v>
      </x:c>
      <x:c r="B4" s="246" t="str">
        <x:v>Context Misunderstanding</x:v>
      </x:c>
      <x:c r="C4" s="246" t="str">
        <x:v>The system can be named Ticket Tracking System and use ticket purchase terms.</x:v>
      </x:c>
      <x:c r="D4" s="246" t="str">
        <x:v>The exam case is a gym Member Tracking System using RFID wristbands for membership, entry, payment, and facility usage.</x:v>
      </x:c>
      <x:c r="E4" s="246" t="str">
        <x:v>Compared AI output with the original requirement paragraph and saw that 'ticket' terminology changed the system scope.</x:v>
      </x:c>
      <x:c r="F4" s="246" t="str">
        <x:v>Renamed system boundary/title to Member Tracking System and changed use cases to membership package/wristband terms.</x:v>
      </x:c>
      <x:c r="G4" s="183"/>
      <x:c r="H4" s="183"/>
    </x:row>
    <x:row r="5" ht="115" customHeight="1">
      <x:c r="A5" s="191" t="str">
        <x:v>011</x:v>
      </x:c>
      <x:c r="B5" s="191" t="str">
        <x:v>Logic Error / Actor Misclassification</x:v>
      </x:c>
      <x:c r="C5" s="191" t="str">
        <x:v>RFID Reader and Entrance Gate should be actors in the use case diagram.</x:v>
      </x:c>
      <x:c r="D5" s="191" t="str">
        <x:v>In a clean business use case diagram, hardware devices do not have independent business goals; they are internal devices or technical interfaces.</x:v>
      </x:c>
      <x:c r="E5" s="191" t="str">
        <x:v>Reviewed UML actor meaning and checked whether the device has a user goal separate from the system.</x:v>
      </x:c>
      <x:c r="F5" s="191" t="str">
        <x:v>Removed RFID Reader and Entrance Gate from main actor list; described them in swimlane/context flow instead.</x:v>
      </x:c>
      <x:c r="G5" s="183"/>
      <x:c r="H5" s="183"/>
    </x:row>
    <x:row r="6" ht="115" customHeight="1">
      <x:c r="A6" s="246" t="str">
        <x:v>012</x:v>
      </x:c>
      <x:c r="B6" s="246" t="str">
        <x:v>Oversimplification</x:v>
      </x:c>
      <x:c r="C6" s="246" t="str">
        <x:v>Access validation only needs to check whether the wristband is valid.</x:v>
      </x:c>
      <x:c r="D6" s="246" t="str">
        <x:v>The requirement also needs expiration, membership type, standard usage limits, facility/class permission, and premium unlimited/priority rules.</x:v>
      </x:c>
      <x:c r="E6" s="246" t="str">
        <x:v>Traced each validation step back to the requirement sentences about standard and premium members.</x:v>
      </x:c>
      <x:c r="F6" s="246" t="str">
        <x:v>Added decision nodes and notes for membership type, expiration, remaining limits, and facility permission.</x:v>
      </x:c>
      <x:c r="G6" s="183"/>
      <x:c r="H6" s="183"/>
    </x:row>
    <x:row r="7" ht="60" customHeight="1">
      <x:c r="A7" s="191"/>
      <x:c r="B7" s="191"/>
      <x:c r="C7" s="191"/>
      <x:c r="D7" s="191"/>
      <x:c r="E7" s="191"/>
      <x:c r="F7" s="191"/>
      <x:c r="G7" s="183"/>
      <x:c r="H7" s="183"/>
    </x:row>
    <x:row r="8" ht="60" customHeight="1">
      <x:c r="A8" s="191"/>
      <x:c r="B8" s="191"/>
      <x:c r="C8" s="191"/>
      <x:c r="D8" s="191"/>
      <x:c r="E8" s="191"/>
      <x:c r="F8" s="191"/>
      <x:c r="G8" s="183"/>
      <x:c r="H8" s="183"/>
    </x:row>
    <x:row r="9" ht="60" customHeight="1">
      <x:c r="A9" s="191"/>
      <x:c r="B9" s="191"/>
      <x:c r="C9" s="191"/>
      <x:c r="D9" s="191"/>
      <x:c r="E9" s="191"/>
      <x:c r="F9" s="191"/>
      <x:c r="G9" s="183"/>
      <x:c r="H9" s="183"/>
    </x:row>
    <x:row r="10" ht="60" customHeight="1">
      <x:c r="A10" s="191"/>
      <x:c r="B10" s="191"/>
      <x:c r="C10" s="191"/>
      <x:c r="D10" s="191"/>
      <x:c r="E10" s="191"/>
      <x:c r="F10" s="191"/>
      <x:c r="G10" s="183"/>
      <x:c r="H10" s="183"/>
    </x:row>
    <x:row r="11" ht="60" customHeight="1">
      <x:c r="A11" s="191"/>
      <x:c r="B11" s="191"/>
      <x:c r="C11" s="191"/>
      <x:c r="D11" s="191"/>
      <x:c r="E11" s="191"/>
      <x:c r="F11" s="191"/>
      <x:c r="G11" s="183"/>
      <x:c r="H11" s="183"/>
    </x:row>
    <x:row r="12" ht="60" customHeight="1">
      <x:c r="A12" s="191"/>
      <x:c r="B12" s="191"/>
      <x:c r="C12" s="191"/>
      <x:c r="D12" s="191"/>
      <x:c r="E12" s="191"/>
      <x:c r="F12" s="191"/>
      <x:c r="G12" s="183"/>
      <x:c r="H12" s="183"/>
    </x:row>
    <x:row r="13" ht="60" customHeight="1">
      <x:c r="A13" s="191"/>
      <x:c r="B13" s="191"/>
      <x:c r="C13" s="191"/>
      <x:c r="D13" s="191"/>
      <x:c r="E13" s="191"/>
      <x:c r="F13" s="191"/>
      <x:c r="G13" s="183"/>
      <x:c r="H13" s="183"/>
    </x:row>
    <x:row r="14" ht="60" customHeight="1">
      <x:c r="A14" s="191"/>
      <x:c r="B14" s="191"/>
      <x:c r="C14" s="191"/>
      <x:c r="D14" s="191"/>
      <x:c r="E14" s="191"/>
      <x:c r="F14" s="191"/>
      <x:c r="G14" s="183"/>
      <x:c r="H14" s="183"/>
    </x:row>
    <x:row r="15" ht="60" customHeight="1">
      <x:c r="A15" s="191"/>
      <x:c r="B15" s="191"/>
      <x:c r="C15" s="191"/>
      <x:c r="D15" s="191"/>
      <x:c r="E15" s="191"/>
      <x:c r="F15" s="191"/>
      <x:c r="G15" s="183"/>
      <x:c r="H15" s="183"/>
    </x:row>
    <x:row r="16" ht="60" customHeight="1">
      <x:c r="A16" s="191"/>
      <x:c r="B16" s="191"/>
      <x:c r="C16" s="191"/>
      <x:c r="D16" s="191"/>
      <x:c r="E16" s="191"/>
      <x:c r="F16" s="191"/>
      <x:c r="G16" s="183"/>
      <x:c r="H16" s="183"/>
    </x:row>
    <x:row r="17" ht="60" customHeight="1">
      <x:c r="A17" s="191"/>
      <x:c r="B17" s="191"/>
      <x:c r="C17" s="191"/>
      <x:c r="D17" s="191"/>
      <x:c r="E17" s="191"/>
      <x:c r="F17" s="191"/>
      <x:c r="G17" s="183"/>
      <x:c r="H17" s="183"/>
    </x:row>
    <x:row r="18" ht="60" customHeight="1">
      <x:c r="A18" s="191"/>
      <x:c r="B18" s="191"/>
      <x:c r="C18" s="191"/>
      <x:c r="D18" s="191"/>
      <x:c r="E18" s="191"/>
      <x:c r="F18" s="191"/>
      <x:c r="G18" s="183"/>
      <x:c r="H18" s="183"/>
    </x:row>
    <x:row r="19" ht="60" customHeight="1">
      <x:c r="A19" s="191"/>
      <x:c r="B19" s="191"/>
      <x:c r="C19" s="191"/>
      <x:c r="D19" s="191"/>
      <x:c r="E19" s="191"/>
      <x:c r="F19" s="191"/>
      <x:c r="G19" s="183"/>
      <x:c r="H19" s="183"/>
    </x:row>
    <x:row r="20" ht="60" customHeight="1">
      <x:c r="A20" s="191"/>
      <x:c r="B20" s="191"/>
      <x:c r="C20" s="191"/>
      <x:c r="D20" s="191"/>
      <x:c r="E20" s="191"/>
      <x:c r="F20" s="191"/>
      <x:c r="G20" s="183"/>
      <x:c r="H20" s="183"/>
    </x:row>
    <x:row r="21" ht="60" customHeight="1">
      <x:c r="A21" s="191"/>
      <x:c r="B21" s="191"/>
      <x:c r="C21" s="191"/>
      <x:c r="D21" s="191"/>
      <x:c r="E21" s="191"/>
      <x:c r="F21" s="191"/>
      <x:c r="G21" s="183"/>
      <x:c r="H21" s="183"/>
    </x:row>
    <x:row r="22" ht="60" customHeight="1">
      <x:c r="A22" s="191"/>
      <x:c r="B22" s="191"/>
      <x:c r="C22" s="191"/>
      <x:c r="D22" s="191"/>
      <x:c r="E22" s="191"/>
      <x:c r="F22" s="191"/>
      <x:c r="G22" s="183"/>
      <x:c r="H22" s="183"/>
    </x:row>
    <x:row r="23" ht="60" customHeight="1">
      <x:c r="A23" s="191"/>
      <x:c r="B23" s="191"/>
      <x:c r="C23" s="191"/>
      <x:c r="D23" s="191"/>
      <x:c r="E23" s="191"/>
      <x:c r="F23" s="191"/>
      <x:c r="G23" s="183"/>
      <x:c r="H23" s="183"/>
    </x:row>
    <x:row r="24" ht="60" customHeight="1">
      <x:c r="A24" s="191"/>
      <x:c r="B24" s="191"/>
      <x:c r="C24" s="191"/>
      <x:c r="D24" s="191"/>
      <x:c r="E24" s="191"/>
      <x:c r="F24" s="191"/>
      <x:c r="G24" s="183"/>
      <x:c r="H24" s="183"/>
    </x:row>
    <x:row r="25">
      <x:c r="A25" s="183"/>
      <x:c r="B25" s="183"/>
      <x:c r="C25" s="183"/>
      <x:c r="D25" s="183"/>
      <x:c r="E25" s="183"/>
      <x:c r="F25" s="183"/>
      <x:c r="G25" s="183"/>
      <x:c r="H25" s="183"/>
    </x:row>
    <x:row r="26">
      <x:c r="A26" s="183"/>
      <x:c r="B26" s="183"/>
      <x:c r="C26" s="183"/>
      <x:c r="D26" s="183"/>
      <x:c r="E26" s="183"/>
      <x:c r="F26" s="183"/>
      <x:c r="G26" s="183"/>
      <x:c r="H26" s="183"/>
    </x:row>
    <x:row r="27">
      <x:c r="A27" s="183"/>
      <x:c r="B27" s="183"/>
      <x:c r="C27" s="183"/>
      <x:c r="D27" s="183"/>
      <x:c r="E27" s="183"/>
      <x:c r="F27" s="183"/>
      <x:c r="G27" s="183"/>
      <x:c r="H27" s="183"/>
    </x:row>
    <x:row r="28">
      <x:c r="A28" s="183"/>
      <x:c r="B28" s="183"/>
      <x:c r="C28" s="183"/>
      <x:c r="D28" s="183"/>
      <x:c r="E28" s="183"/>
      <x:c r="F28" s="183"/>
      <x:c r="G28" s="183"/>
      <x:c r="H28" s="183"/>
    </x:row>
    <x:row r="29">
      <x:c r="A29" s="183"/>
      <x:c r="B29" s="183"/>
      <x:c r="C29" s="183"/>
      <x:c r="D29" s="183"/>
      <x:c r="E29" s="183"/>
      <x:c r="F29" s="183"/>
      <x:c r="G29" s="183"/>
      <x:c r="H29" s="183"/>
    </x:row>
    <x:row r="30" ht="18">
      <x:c r="A30" s="67" t="str">
        <x:v>HALLUCINATION TYPES REFERENCE:</x:v>
      </x:c>
      <x:c r="B30" s="69"/>
      <x:c r="C30" s="69"/>
      <x:c r="D30" s="69"/>
      <x:c r="E30" s="69"/>
      <x:c r="F30" s="69"/>
      <x:c r="G30" s="183"/>
      <x:c r="H30" s="183"/>
    </x:row>
    <x:row r="31">
      <x:c r="A31" s="126" t="str">
        <x:v>Type</x:v>
      </x:c>
      <x:c r="B31" s="126" t="str">
        <x:v>Definition</x:v>
      </x:c>
      <x:c r="C31" s="126" t="str">
        <x:v>Example</x:v>
      </x:c>
      <x:c r="D31" s="183"/>
      <x:c r="E31" s="183"/>
      <x:c r="F31" s="183"/>
      <x:c r="G31" s="183"/>
      <x:c r="H31" s="183"/>
    </x:row>
    <x:row r="32" ht="28.799999237060547">
      <x:c r="A32" s="191" t="str">
        <x:v>Fabrication</x:v>
      </x:c>
      <x:c r="B32" s="191" t="str">
        <x:v>AI tạo ra thông tin không tồn tại</x:v>
      </x:c>
      <x:c r="C32" s="191" t="str">
        <x:v>Fake papers, fake APIs, fake data</x:v>
      </x:c>
      <x:c r="D32" s="183"/>
      <x:c r="E32" s="183"/>
      <x:c r="F32" s="183"/>
      <x:c r="G32" s="183"/>
      <x:c r="H32" s="183"/>
    </x:row>
    <x:row r="33" ht="28.799999237060547">
      <x:c r="A33" s="191" t="str">
        <x:v>Oversimplification</x:v>
      </x:c>
      <x:c r="B33" s="191" t="str">
        <x:v>AI bỏ qua edge cases, exceptions</x:v>
      </x:c>
      <x:c r="C33" s="191" t="str">
        <x:v>Chỉ check valid wristband, bỏ qua expiration/limits</x:v>
      </x:c>
      <x:c r="D33" s="183"/>
      <x:c r="E33" s="183"/>
      <x:c r="F33" s="183"/>
      <x:c r="G33" s="183"/>
      <x:c r="H33" s="183"/>
    </x:row>
    <x:row r="34" ht="28.799999237060547">
      <x:c r="A34" s="191" t="str">
        <x:v>Logic Error</x:v>
      </x:c>
      <x:c r="B34" s="191" t="str">
        <x:v>AI đưa kết luận sai về modeling/best practice</x:v>
      </x:c>
      <x:c r="C34" s="191" t="str">
        <x:v>Xem hardware như actor nghiệp vụ chính</x:v>
      </x:c>
      <x:c r="D34" s="183"/>
      <x:c r="E34" s="183"/>
      <x:c r="F34" s="183"/>
      <x:c r="G34" s="183"/>
      <x:c r="H34" s="183"/>
    </x:row>
    <x:row r="35" ht="28.799999237060547">
      <x:c r="A35" s="191" t="str">
        <x:v>Outdated Info</x:v>
      </x:c>
      <x:c r="B35" s="191" t="str">
        <x:v>AI dùng thông tin cũ, không còn đúng</x:v>
      </x:c>
      <x:c r="C35" s="191" t="str">
        <x:v>Old UML notation/API syntax</x:v>
      </x:c>
      <x:c r="D35" s="183"/>
      <x:c r="E35" s="183"/>
      <x:c r="F35" s="183"/>
      <x:c r="G35" s="183"/>
      <x:c r="H35" s="183"/>
    </x:row>
    <x:row r="36" ht="43.20000076293945">
      <x:c r="A36" s="191" t="str">
        <x:v>Context Misunderstanding</x:v>
      </x:c>
      <x:c r="B36" s="191" t="str">
        <x:v>AI không hiểu đúng bối cảnh</x:v>
      </x:c>
      <x:c r="C36" s="191" t="str">
        <x:v>Nhầm Member Tracking thành Ticket Tracking</x:v>
      </x:c>
      <x:c r="D36" s="183"/>
      <x:c r="E36" s="183"/>
      <x:c r="F36" s="183"/>
      <x:c r="G36" s="183"/>
      <x:c r="H36" s="183"/>
    </x:row>
    <x:row r="37">
      <x:c r="A37" s="183"/>
      <x:c r="B37" s="183"/>
      <x:c r="C37" s="183"/>
      <x:c r="D37" s="183"/>
      <x:c r="E37" s="183"/>
      <x:c r="F37" s="183"/>
      <x:c r="G37" s="183"/>
      <x:c r="H37" s="183"/>
    </x:row>
    <x:row r="38">
      <x:c r="A38" s="183"/>
      <x:c r="B38" s="183"/>
      <x:c r="C38" s="183"/>
      <x:c r="D38" s="183"/>
      <x:c r="E38" s="183"/>
      <x:c r="F38" s="183"/>
      <x:c r="G38" s="183"/>
      <x:c r="H38" s="183"/>
    </x:row>
    <x:row r="39">
      <x:c r="A39" s="183"/>
      <x:c r="B39" s="183"/>
      <x:c r="C39" s="183"/>
      <x:c r="D39" s="183"/>
      <x:c r="E39" s="183"/>
      <x:c r="F39" s="183"/>
      <x:c r="G39" s="183"/>
      <x:c r="H39" s="183"/>
    </x:row>
    <x:row r="40">
      <x:c r="A40" s="183"/>
      <x:c r="B40" s="183"/>
      <x:c r="C40" s="183"/>
      <x:c r="D40" s="183"/>
      <x:c r="E40" s="183"/>
      <x:c r="F40" s="183"/>
      <x:c r="G40" s="183"/>
      <x:c r="H40" s="183"/>
    </x:row>
    <x:row r="41">
      <x:c r="A41" s="183"/>
      <x:c r="B41" s="183"/>
      <x:c r="C41" s="183"/>
      <x:c r="D41" s="183"/>
      <x:c r="E41" s="183"/>
      <x:c r="F41" s="183"/>
      <x:c r="G41" s="183"/>
      <x:c r="H41" s="183"/>
    </x:row>
    <x:row r="42">
      <x:c r="A42" s="183"/>
      <x:c r="B42" s="183"/>
      <x:c r="C42" s="183"/>
      <x:c r="D42" s="183"/>
      <x:c r="E42" s="183"/>
      <x:c r="F42" s="183"/>
      <x:c r="G42" s="183"/>
      <x:c r="H42" s="183"/>
    </x:row>
    <x:row r="43">
      <x:c r="A43" s="183"/>
      <x:c r="B43" s="183"/>
      <x:c r="C43" s="183"/>
      <x:c r="D43" s="183"/>
      <x:c r="E43" s="183"/>
      <x:c r="F43" s="183"/>
      <x:c r="G43" s="183"/>
      <x:c r="H43" s="183"/>
    </x:row>
    <x:row r="44">
      <x:c r="A44" s="183"/>
      <x:c r="B44" s="183"/>
      <x:c r="C44" s="183"/>
      <x:c r="D44" s="183"/>
      <x:c r="E44" s="183"/>
      <x:c r="F44" s="183"/>
      <x:c r="G44" s="183"/>
      <x:c r="H44" s="183"/>
    </x:row>
    <x:row r="45">
      <x:c r="A45" s="183"/>
      <x:c r="B45" s="183"/>
      <x:c r="C45" s="183"/>
      <x:c r="D45" s="183"/>
      <x:c r="E45" s="183"/>
      <x:c r="F45" s="183"/>
      <x:c r="G45" s="183"/>
      <x:c r="H45" s="183"/>
    </x:row>
    <x:row r="46">
      <x:c r="A46" s="183"/>
      <x:c r="B46" s="183"/>
      <x:c r="C46" s="183"/>
      <x:c r="D46" s="183"/>
      <x:c r="E46" s="183"/>
      <x:c r="F46" s="183"/>
      <x:c r="G46" s="183"/>
      <x:c r="H46" s="183"/>
    </x:row>
    <x:row r="47">
      <x:c r="A47" s="183"/>
      <x:c r="B47" s="183"/>
      <x:c r="C47" s="183"/>
      <x:c r="D47" s="183"/>
      <x:c r="E47" s="183"/>
      <x:c r="F47" s="183"/>
      <x:c r="G47" s="183"/>
      <x:c r="H47" s="183"/>
    </x:row>
    <x:row r="48">
      <x:c r="A48" s="183"/>
      <x:c r="B48" s="183"/>
      <x:c r="C48" s="183"/>
      <x:c r="D48" s="183"/>
      <x:c r="E48" s="183"/>
      <x:c r="F48" s="183"/>
      <x:c r="G48" s="183"/>
      <x:c r="H48" s="183"/>
    </x:row>
    <x:row r="49">
      <x:c r="A49" s="183"/>
      <x:c r="B49" s="183"/>
      <x:c r="C49" s="183"/>
      <x:c r="D49" s="183"/>
      <x:c r="E49" s="183"/>
      <x:c r="F49" s="183"/>
      <x:c r="G49" s="183"/>
      <x:c r="H49" s="183"/>
    </x:row>
    <x:row r="50">
      <x:c r="A50" s="183"/>
      <x:c r="B50" s="183"/>
      <x:c r="C50" s="183"/>
      <x:c r="D50" s="183"/>
      <x:c r="E50" s="183"/>
      <x:c r="F50" s="183"/>
      <x:c r="G50" s="183"/>
      <x:c r="H50" s="183"/>
    </x:row>
    <x:row r="51">
      <x:c r="A51" s="183"/>
      <x:c r="B51" s="183"/>
      <x:c r="C51" s="183"/>
      <x:c r="D51" s="183"/>
      <x:c r="E51" s="183"/>
      <x:c r="F51" s="183"/>
      <x:c r="G51" s="183"/>
      <x:c r="H51" s="183"/>
    </x:row>
    <x:row r="52">
      <x:c r="A52" s="183"/>
      <x:c r="B52" s="183"/>
      <x:c r="C52" s="183"/>
      <x:c r="D52" s="183"/>
      <x:c r="E52" s="183"/>
      <x:c r="F52" s="183"/>
      <x:c r="G52" s="183"/>
      <x:c r="H52" s="183"/>
    </x:row>
    <x:row r="53">
      <x:c r="A53" s="183"/>
      <x:c r="B53" s="183"/>
      <x:c r="C53" s="183"/>
      <x:c r="D53" s="183"/>
      <x:c r="E53" s="183"/>
      <x:c r="F53" s="183"/>
      <x:c r="G53" s="183"/>
      <x:c r="H53" s="183"/>
    </x:row>
    <x:row r="54">
      <x:c r="A54" s="183"/>
      <x:c r="B54" s="183"/>
      <x:c r="C54" s="183"/>
      <x:c r="D54" s="183"/>
      <x:c r="E54" s="183"/>
      <x:c r="F54" s="183"/>
      <x:c r="G54" s="183"/>
      <x:c r="H54" s="183"/>
    </x:row>
    <x:row r="55">
      <x:c r="A55" s="183"/>
      <x:c r="B55" s="183"/>
      <x:c r="C55" s="183"/>
      <x:c r="D55" s="183"/>
      <x:c r="E55" s="183"/>
      <x:c r="F55" s="183"/>
      <x:c r="G55" s="183"/>
      <x:c r="H55" s="183"/>
    </x:row>
    <x:row r="56">
      <x:c r="A56" s="183"/>
      <x:c r="B56" s="183"/>
      <x:c r="C56" s="183"/>
      <x:c r="D56" s="183"/>
      <x:c r="E56" s="183"/>
      <x:c r="F56" s="183"/>
      <x:c r="G56" s="183"/>
      <x:c r="H56" s="183"/>
    </x:row>
    <x:row r="57">
      <x:c r="A57" s="183"/>
      <x:c r="B57" s="183"/>
      <x:c r="C57" s="183"/>
      <x:c r="D57" s="183"/>
      <x:c r="E57" s="183"/>
      <x:c r="F57" s="183"/>
      <x:c r="G57" s="183"/>
      <x:c r="H57" s="183"/>
    </x:row>
    <x:row r="58">
      <x:c r="A58" s="183"/>
      <x:c r="B58" s="183"/>
      <x:c r="C58" s="183"/>
      <x:c r="D58" s="183"/>
      <x:c r="E58" s="183"/>
      <x:c r="F58" s="183"/>
      <x:c r="G58" s="183"/>
      <x:c r="H58" s="183"/>
    </x:row>
    <x:row r="59">
      <x:c r="A59" s="183"/>
      <x:c r="B59" s="183"/>
      <x:c r="C59" s="183"/>
      <x:c r="D59" s="183"/>
      <x:c r="E59" s="183"/>
      <x:c r="F59" s="183"/>
      <x:c r="G59" s="183"/>
      <x:c r="H59" s="183"/>
    </x:row>
    <x:row r="60">
      <x:c r="A60" s="183"/>
      <x:c r="B60" s="183"/>
      <x:c r="C60" s="183"/>
      <x:c r="D60" s="183"/>
      <x:c r="E60" s="183"/>
      <x:c r="F60" s="183"/>
      <x:c r="G60" s="183"/>
      <x:c r="H60" s="183"/>
    </x:row>
  </x:sheetData>
  <x:mergeCells>
    <x:mergeCell ref="A2:F2"/>
    <x:mergeCell ref="A1:F1"/>
  </x:mergeCells>
  <x:pageMargins left="0.7" right="0.7" top="0.75" bottom="0.75" header="0.3" footer="0.3"/>
  <x:tableParts count="1">
    <x:tablePart xmlns:r="http://schemas.openxmlformats.org/officeDocument/2006/relationships" r:id="Rce81fe60524f4be5"/>
  </x:tableParts>
</x:worksheet>
</file>

<file path=xl/worksheets/sheet4.xml><?xml version="1.0" encoding="utf-8"?>
<x:worksheet xmlns:x="http://schemas.openxmlformats.org/spreadsheetml/2006/main">
  <x:sheetFormatPr defaultRowHeight="14.399999618530273"/>
  <x:cols>
    <x:col min="1" max="1" width="10" hidden="0" customWidth="1"/>
    <x:col min="2" max="2" width="55" hidden="0" customWidth="1"/>
    <x:col min="3" max="3" width="18" hidden="0" customWidth="1"/>
    <x:col min="4" max="4" width="55" hidden="0" customWidth="1"/>
  </x:cols>
  <x:sheetData>
    <x:row r="1" ht="24" customHeight="1">
      <x:c r="A1" s="210" t="str">
        <x:v>SELF-ASSESSMENT CHECKLIST (Trước khi nộp)</x:v>
      </x:c>
      <x:c r="B1" s="210"/>
      <x:c r="C1" s="210"/>
      <x:c r="D1" s="210"/>
      <x:c r="E1" s="183"/>
      <x:c r="F1" s="183"/>
      <x:c r="G1" s="183"/>
      <x:c r="H1" s="183"/>
    </x:row>
    <x:row r="2">
      <x:c r="A2" s="228" t="str">
        <x:v>Kiểm tra kỹ trước khi nộp. MỖI ENTRY phải pass ≥4/5 tiêu chí dưới đây.</x:v>
      </x:c>
      <x:c r="B2" s="229"/>
      <x:c r="C2" s="229"/>
      <x:c r="D2" s="229"/>
      <x:c r="E2" s="183"/>
      <x:c r="F2" s="183"/>
      <x:c r="G2" s="183"/>
      <x:c r="H2" s="183"/>
    </x:row>
    <x:row r="3">
      <x:c r="A3" s="184"/>
      <x:c r="B3" s="184"/>
      <x:c r="C3" s="184"/>
      <x:c r="D3" s="184"/>
      <x:c r="E3" s="183"/>
      <x:c r="F3" s="183"/>
      <x:c r="G3" s="183"/>
      <x:c r="H3" s="183"/>
    </x:row>
    <x:row r="4" ht="18">
      <x:c r="A4" s="168" t="str">
        <x:v>A. KIỂM TRA CHẤT LƯỢNG MỖI ENTRY (Pass ≥4/5)</x:v>
      </x:c>
      <x:c r="B4" s="169"/>
      <x:c r="C4" s="169"/>
      <x:c r="D4" s="169"/>
      <x:c r="E4" s="183"/>
      <x:c r="F4" s="183"/>
      <x:c r="G4" s="183"/>
      <x:c r="H4" s="183"/>
    </x:row>
    <x:row r="5">
      <x:c r="A5" s="77" t="str">
        <x:v>#</x:v>
      </x:c>
      <x:c r="B5" s="77" t="str">
        <x:v>Tiêu chí</x:v>
      </x:c>
      <x:c r="C5" s="77" t="str">
        <x:v>Pass?</x:v>
      </x:c>
      <x:c r="D5" s="77" t="str">
        <x:v>Note</x:v>
      </x:c>
      <x:c r="E5" s="183"/>
      <x:c r="F5" s="183"/>
      <x:c r="G5" s="183"/>
      <x:c r="H5" s="183"/>
    </x:row>
    <x:row r="6">
      <x:c r="A6" s="232" t="n">
        <x:v>1</x:v>
      </x:c>
      <x:c r="B6" s="233" t="str">
        <x:v>Prompt này ảnh hưởng đến quyết định quan trọng trong project?</x:v>
      </x:c>
      <x:c r="C6" s="232" t="str">
        <x:v>☑</x:v>
      </x:c>
      <x:c r="D6" s="233" t="str">
        <x:v>Có: quyết định scope, actor, include/extend, context/swimlane.</x:v>
      </x:c>
      <x:c r="E6" s="183"/>
      <x:c r="F6" s="183"/>
      <x:c r="G6" s="183"/>
      <x:c r="H6" s="183"/>
    </x:row>
    <x:row r="7">
      <x:c r="A7" s="232" t="n">
        <x:v>2</x:v>
      </x:c>
      <x:c r="B7" s="233" t="str">
        <x:v>Nếu không có prompt này, project có thay đổi về architecture/design?</x:v>
      </x:c>
      <x:c r="C7" s="232" t="str">
        <x:v>☑</x:v>
      </x:c>
      <x:c r="D7" s="233" t="str">
        <x:v>Có: diagram sẽ rối hoặc sai tên/sai actor.</x:v>
      </x:c>
      <x:c r="E7" s="183"/>
      <x:c r="F7" s="183"/>
      <x:c r="G7" s="183"/>
      <x:c r="H7" s="183"/>
    </x:row>
    <x:row r="8">
      <x:c r="A8" s="232" t="n">
        <x:v>3</x:v>
      </x:c>
      <x:c r="B8" s="233" t="str">
        <x:v>Tôi có thể giải thích lý do chọn/không chọn gợi ý của AI?</x:v>
      </x:c>
      <x:c r="C8" s="232" t="str">
        <x:v>☑</x:v>
      </x:c>
      <x:c r="D8" s="233" t="str">
        <x:v>Mỗi entry có Human Delta: critical thinking, contextualization, synthesis, decision.</x:v>
      </x:c>
      <x:c r="E8" s="183"/>
      <x:c r="F8" s="183"/>
      <x:c r="G8" s="183"/>
      <x:c r="H8" s="183"/>
    </x:row>
    <x:row r="9">
      <x:c r="A9" s="232" t="n">
        <x:v>4</x:v>
      </x:c>
      <x:c r="B9" s="233" t="str">
        <x:v>Có minh chứng cụ thể (code, metrics, comparison)?</x:v>
      </x:c>
      <x:c r="C9" s="232" t="str">
        <x:v>☑</x:v>
      </x:c>
      <x:c r="D9" s="233" t="str">
        <x:v>Có screenshot sơ đồ, XML draw.io, SRS cover page, checklist quan hệ UML.</x:v>
      </x:c>
      <x:c r="E9" s="183"/>
      <x:c r="F9" s="183"/>
      <x:c r="G9" s="183"/>
      <x:c r="H9" s="183"/>
    </x:row>
    <x:row r="10">
      <x:c r="A10" s="232" t="n">
        <x:v>5</x:v>
      </x:c>
      <x:c r="B10" s="233" t="str">
        <x:v>Prompt này phản ánh tư duy phản biện, không chỉ copy AI?</x:v>
      </x:c>
      <x:c r="C10" s="232" t="str">
        <x:v>☑</x:v>
      </x:c>
      <x:c r="D10" s="233" t="str">
        <x:v>Có phát hiện 3 hallucination và chỉnh lại theo requirement.</x:v>
      </x:c>
      <x:c r="E10" s="183"/>
      <x:c r="F10" s="183"/>
      <x:c r="G10" s="183"/>
      <x:c r="H10" s="183"/>
    </x:row>
    <x:row r="11">
      <x:c r="A11" s="184"/>
      <x:c r="B11" s="184"/>
      <x:c r="C11" s="184"/>
      <x:c r="D11" s="184"/>
      <x:c r="E11" s="183"/>
      <x:c r="F11" s="183"/>
      <x:c r="G11" s="183"/>
      <x:c r="H11" s="183"/>
    </x:row>
    <x:row r="12" ht="18">
      <x:c r="A12" s="168" t="str">
        <x:v>B. KIỂM TRA TỔNG THỂ LOG</x:v>
      </x:c>
      <x:c r="B12" s="169"/>
      <x:c r="C12" s="169"/>
      <x:c r="D12" s="169"/>
      <x:c r="E12" s="183"/>
      <x:c r="F12" s="183"/>
      <x:c r="G12" s="183"/>
      <x:c r="H12" s="183"/>
    </x:row>
    <x:row r="13">
      <x:c r="A13" s="77" t="str">
        <x:v>#</x:v>
      </x:c>
      <x:c r="B13" s="77" t="str">
        <x:v>Tiêu chí</x:v>
      </x:c>
      <x:c r="C13" s="77" t="str">
        <x:v>Pass?</x:v>
      </x:c>
      <x:c r="D13" s="77" t="str">
        <x:v>Current Value</x:v>
      </x:c>
      <x:c r="E13" s="183"/>
      <x:c r="F13" s="183"/>
      <x:c r="G13" s="183"/>
      <x:c r="H13" s="183"/>
    </x:row>
    <x:row r="14">
      <x:c r="A14" s="232" t="n">
        <x:v>1</x:v>
      </x:c>
      <x:c r="B14" s="233" t="str">
        <x:v>Số lượng entries nằm trong range (min-max)?</x:v>
      </x:c>
      <x:c r="C14" s="232" t="str">
        <x:v>☑</x:v>
      </x:c>
      <x:c r="D14" s="233" t="str">
        <x:v>12 core entries</x:v>
      </x:c>
      <x:c r="E14" s="183"/>
      <x:c r="F14" s="183"/>
      <x:c r="G14" s="183"/>
      <x:c r="H14" s="183"/>
    </x:row>
    <x:row r="15">
      <x:c r="A15" s="232" t="n">
        <x:v>2</x:v>
      </x:c>
      <x:c r="B15" s="233" t="str">
        <x:v>Mỗi DTC component có ít nhất 1 core prompt?</x:v>
      </x:c>
      <x:c r="C15" s="232" t="str">
        <x:v>☑</x:v>
      </x:c>
      <x:c r="D15" s="233" t="str">
        <x:v>Decomposition=3, Pattern Recognition=3, Abstraction=4, Algorithms=2</x:v>
      </x:c>
      <x:c r="E15" s="183"/>
      <x:c r="F15" s="183"/>
      <x:c r="G15" s="183"/>
      <x:c r="H15" s="183"/>
    </x:row>
    <x:row r="16">
      <x:c r="A16" s="232" t="n">
        <x:v>3</x:v>
      </x:c>
      <x:c r="B16" s="233" t="str">
        <x:v>Đã phát hiện ≥ số lượng hallucination yêu cầu?</x:v>
      </x:c>
      <x:c r="C16" s="232" t="str">
        <x:v>☑</x:v>
      </x:c>
      <x:c r="D16" s="233" t="str">
        <x:v>3 cases: context misunderstanding, actor misclassification, oversimplification</x:v>
      </x:c>
      <x:c r="E16" s="183"/>
      <x:c r="F16" s="183"/>
      <x:c r="G16" s="183"/>
      <x:c r="H16" s="183"/>
    </x:row>
    <x:row r="17">
      <x:c r="A17" s="232" t="n">
        <x:v>4</x:v>
      </x:c>
      <x:c r="B17" s="233" t="str">
        <x:v>Mỗi entry đều có Human Delta đầy đủ (4 câu hỏi)?</x:v>
      </x:c>
      <x:c r="C17" s="232" t="str">
        <x:v>☑</x:v>
      </x:c>
      <x:c r="D17" s="233" t="str">
        <x:v>All 12 entries include Critical Thinking, Contextualization, Creative Synthesis, Decision</x:v>
      </x:c>
      <x:c r="E17" s="183"/>
      <x:c r="F17" s="183"/>
      <x:c r="G17" s="183"/>
      <x:c r="H17" s="183"/>
    </x:row>
    <x:row r="18">
      <x:c r="A18" s="232" t="n">
        <x:v>5</x:v>
      </x:c>
      <x:c r="B18" s="233" t="str">
        <x:v>Có evidence cho ≥70% entries?</x:v>
      </x:c>
      <x:c r="C18" s="232" t="str">
        <x:v>☑</x:v>
      </x:c>
      <x:c r="D18" s="233" t="str">
        <x:v>12/12 entries have evidence notes</x:v>
      </x:c>
      <x:c r="E18" s="183"/>
      <x:c r="F18" s="183"/>
      <x:c r="G18" s="183"/>
      <x:c r="H18" s="183"/>
    </x:row>
    <x:row r="19">
      <x:c r="A19" s="184"/>
      <x:c r="B19" s="184"/>
      <x:c r="C19" s="184"/>
      <x:c r="D19" s="184"/>
      <x:c r="E19" s="183"/>
      <x:c r="F19" s="183"/>
      <x:c r="G19" s="183"/>
      <x:c r="H19" s="183"/>
    </x:row>
    <x:row r="20" ht="15.600000381469727">
      <x:c r="A20" s="171" t="str">
        <x:v>⚠️ LƯU Ý QUAN TRỌNG:</x:v>
      </x:c>
      <x:c r="B20" s="169"/>
      <x:c r="C20" s="169"/>
      <x:c r="D20" s="169"/>
      <x:c r="E20" s="183"/>
      <x:c r="F20" s="183"/>
      <x:c r="G20" s="183"/>
      <x:c r="H20" s="183"/>
    </x:row>
    <x:row r="21">
      <x:c r="A21" s="235" t="str">
        <x:v>Nếu entry KHÔNG pass ≥4/5 tiêu chí → LOẠI BỎ, không ghi vào Log</x:v>
      </x:c>
      <x:c r="B21" s="184"/>
      <x:c r="C21" s="184"/>
      <x:c r="D21" s="184"/>
      <x:c r="E21" s="183"/>
      <x:c r="F21" s="183"/>
      <x:c r="G21" s="183"/>
      <x:c r="H21" s="183"/>
    </x:row>
    <x:row r="22">
      <x:c r="A22" s="235" t="str">
        <x:v>Nếu FAIL ≥2 tiêu chí tổng thể → AI Reflection = 0 điểm (mất 30%)</x:v>
      </x:c>
      <x:c r="B22" s="184"/>
      <x:c r="C22" s="184"/>
      <x:c r="D22" s="184"/>
      <x:c r="E22" s="183"/>
      <x:c r="F22" s="183"/>
      <x:c r="G22" s="183"/>
      <x:c r="H22" s="183"/>
    </x:row>
    <x:row r="23">
      <x:c r="A23" s="184"/>
      <x:c r="B23" s="184"/>
      <x:c r="C23" s="184"/>
      <x:c r="D23" s="184"/>
      <x:c r="E23" s="183"/>
      <x:c r="F23" s="183"/>
      <x:c r="G23" s="183"/>
      <x:c r="H23" s="183"/>
    </x:row>
    <x:row r="24">
      <x:c r="A24" s="184"/>
      <x:c r="B24" s="184"/>
      <x:c r="C24" s="184"/>
      <x:c r="D24" s="184"/>
      <x:c r="E24" s="183"/>
      <x:c r="F24" s="183"/>
      <x:c r="G24" s="183"/>
      <x:c r="H24" s="183"/>
    </x:row>
    <x:row r="25" ht="18">
      <x:c r="A25" s="168" t="str">
        <x:v>C. CHUẨN BỊ CHO ORAL VIVAS (Q&amp;A)</x:v>
      </x:c>
      <x:c r="B25" s="169"/>
      <x:c r="C25" s="169"/>
      <x:c r="D25" s="169"/>
      <x:c r="E25" s="183"/>
      <x:c r="F25" s="183"/>
      <x:c r="G25" s="183"/>
      <x:c r="H25" s="183"/>
    </x:row>
    <x:row r="26">
      <x:c r="A26" s="236" t="str">
        <x:v>Giảng viên sẽ hỏi ngẫu nhiên về 3-5 entries. Tự hỏi bản thân:</x:v>
      </x:c>
      <x:c r="B26" s="184"/>
      <x:c r="C26" s="184"/>
      <x:c r="D26" s="184"/>
      <x:c r="E26" s="183"/>
      <x:c r="F26" s="183"/>
      <x:c r="G26" s="183"/>
      <x:c r="H26" s="183"/>
    </x:row>
    <x:row r="27" ht="43.20000076293945">
      <x:c r="A27" s="77" t="str">
        <x:v>Entry #</x:v>
      </x:c>
      <x:c r="B27" s="77" t="str">
        <x:v>Tôi có thể giải thích tại sao chọn approach này?</x:v>
      </x:c>
      <x:c r="C27" s="77" t="str">
        <x:v>Tôi có nhớ AI response?</x:v>
      </x:c>
      <x:c r="D27" s="77" t="str">
        <x:v>Tôi có evidence?</x:v>
      </x:c>
      <x:c r="E27" s="183"/>
      <x:c r="F27" s="183"/>
      <x:c r="G27" s="183"/>
      <x:c r="H27" s="183"/>
    </x:row>
    <x:row r="28" ht="42" customHeight="1">
      <x:c r="A28" s="194" t="str">
        <x:v>001</x:v>
      </x:c>
      <x:c r="B28" s="191" t="str">
        <x:v>Yes - chia requirement thành nhóm nghiệp vụ chính</x:v>
      </x:c>
      <x:c r="C28" s="191" t="str">
        <x:v>Yes</x:v>
      </x:c>
      <x:c r="D28" s="191" t="str">
        <x:v>Requirement highlight + actor/function list</x:v>
      </x:c>
      <x:c r="E28" s="183"/>
      <x:c r="F28" s="183"/>
      <x:c r="G28" s="183"/>
      <x:c r="H28" s="183"/>
    </x:row>
    <x:row r="29" ht="42" customHeight="1">
      <x:c r="A29" s="194" t="str">
        <x:v>002</x:v>
      </x:c>
      <x:c r="B29" s="191" t="str">
        <x:v>Yes - điền placeholder SRS để không mất điểm</x:v>
      </x:c>
      <x:c r="C29" s="191" t="str">
        <x:v>Yes</x:v>
      </x:c>
      <x:c r="D29" s="191" t="str">
        <x:v>Completed SRS cover page</x:v>
      </x:c>
      <x:c r="E29" s="183"/>
      <x:c r="F29" s="183"/>
      <x:c r="G29" s="183"/>
      <x:c r="H29" s="183"/>
    </x:row>
    <x:row r="30" ht="42" customHeight="1">
      <x:c r="A30" s="194" t="str">
        <x:v>003</x:v>
      </x:c>
      <x:c r="B30" s="191" t="str">
        <x:v>Yes - context diagram cần 1 process trung tâm</x:v>
      </x:c>
      <x:c r="C30" s="191" t="str">
        <x:v>Yes</x:v>
      </x:c>
      <x:c r="D30" s="191" t="str">
        <x:v>draw.io XML + screenshot</x:v>
      </x:c>
      <x:c r="E30" s="183"/>
      <x:c r="F30" s="183"/>
      <x:c r="G30" s="183"/>
      <x:c r="H30" s="183"/>
    </x:row>
    <x:row r="31" ht="42" customHeight="1">
      <x:c r="A31" s="184" t="str">
        <x:v>004</x:v>
      </x:c>
      <x:c r="B31" s="184" t="str">
        <x:v>Yes - không lạm dụng include</x:v>
      </x:c>
      <x:c r="C31" s="184" t="str">
        <x:v>Yes</x:v>
      </x:c>
      <x:c r="D31" s="184" t="str">
        <x:v>Before/after use case diagram</x:v>
      </x:c>
      <x:c r="E31" s="183"/>
      <x:c r="F31" s="183"/>
      <x:c r="G31" s="183"/>
      <x:c r="H31" s="183"/>
    </x:row>
    <x:row r="32" ht="42" customHeight="1">
      <x:c r="A32" s="184" t="str">
        <x:v>005</x:v>
      </x:c>
      <x:c r="B32" s="184" t="str">
        <x:v>Yes - hardware không phải actor nghiệp vụ chính</x:v>
      </x:c>
      <x:c r="C32" s="184" t="str">
        <x:v>Yes</x:v>
      </x:c>
      <x:c r="D32" s="184" t="str">
        <x:v>Actor cleanup note</x:v>
      </x:c>
      <x:c r="E32" s="183"/>
      <x:c r="F32" s="183"/>
      <x:c r="G32" s="183"/>
      <x:c r="H32" s="183"/>
    </x:row>
    <x:row r="33" ht="42" customHeight="1">
      <x:c r="A33" s="184" t="str">
        <x:v>006</x:v>
      </x:c>
      <x:c r="B33" s="184" t="str">
        <x:v>Yes - thêm payment failed branch</x:v>
      </x:c>
      <x:c r="C33" s="184" t="str">
        <x:v>Yes</x:v>
      </x:c>
      <x:c r="D33" s="184" t="str">
        <x:v>Swimlane screenshot</x:v>
      </x:c>
      <x:c r="E33" s="183"/>
      <x:c r="F33" s="183"/>
      <x:c r="G33" s="183"/>
      <x:c r="H33" s="183"/>
    </x:row>
    <x:row r="34" ht="42" customHeight="1">
      <x:c r="A34" s="184" t="str">
        <x:v>007</x:v>
      </x:c>
      <x:c r="B34" s="184" t="str">
        <x:v>Yes - phân biệt include/extend/alternate flow</x:v>
      </x:c>
      <x:c r="C34" s="184" t="str">
        <x:v>Yes</x:v>
      </x:c>
      <x:c r="D34" s="184" t="str">
        <x:v>UML relationship checklist</x:v>
      </x:c>
      <x:c r="E34" s="183"/>
      <x:c r="F34" s="183"/>
      <x:c r="G34" s="183"/>
      <x:c r="H34" s="183"/>
    </x:row>
    <x:row r="35" ht="42" customHeight="1">
      <x:c r="A35" s="184" t="str">
        <x:v>008</x:v>
      </x:c>
      <x:c r="B35" s="184" t="str">
        <x:v>Yes - tách context/DFD/use case/swimlane</x:v>
      </x:c>
      <x:c r="C35" s="184" t="str">
        <x:v>Yes</x:v>
      </x:c>
      <x:c r="D35" s="184" t="str">
        <x:v>Comparison notes</x:v>
      </x:c>
      <x:c r="E35" s="183"/>
      <x:c r="F35" s="183"/>
      <x:c r="G35" s="183"/>
      <x:c r="H35" s="183"/>
    </x:row>
    <x:row r="36" ht="42" customHeight="1">
      <x:c r="A36" s="184" t="str">
        <x:v>009</x:v>
      </x:c>
      <x:c r="B36" s="184" t="str">
        <x:v>Yes - tên use case dùng verb-object</x:v>
      </x:c>
      <x:c r="C36" s="184" t="str">
        <x:v>Yes</x:v>
      </x:c>
      <x:c r="D36" s="184" t="str">
        <x:v>Final name list</x:v>
      </x:c>
      <x:c r="E36" s="183"/>
      <x:c r="F36" s="183"/>
      <x:c r="G36" s="183"/>
      <x:c r="H36" s="183"/>
    </x:row>
    <x:row r="37" ht="42" customHeight="1">
      <x:c r="A37" s="184" t="str">
        <x:v>010</x:v>
      </x:c>
      <x:c r="B37" s="184" t="str">
        <x:v>Yes - sửa hallucination về system name</x:v>
      </x:c>
      <x:c r="C37" s="184" t="str">
        <x:v>Yes</x:v>
      </x:c>
      <x:c r="D37" s="184" t="str">
        <x:v>System title correction</x:v>
      </x:c>
      <x:c r="E37" s="183"/>
      <x:c r="F37" s="183"/>
      <x:c r="G37" s="183"/>
      <x:c r="H37" s="183"/>
    </x:row>
    <x:row r="38" ht="42" customHeight="1">
      <x:c r="A38" s="184" t="str">
        <x:v>011</x:v>
      </x:c>
      <x:c r="B38" s="184" t="str">
        <x:v>Yes - sửa actor misclassification</x:v>
      </x:c>
      <x:c r="C38" s="184" t="str">
        <x:v>Yes</x:v>
      </x:c>
      <x:c r="D38" s="184" t="str">
        <x:v>Final diagram actor list</x:v>
      </x:c>
      <x:c r="E38" s="183"/>
      <x:c r="F38" s="183"/>
      <x:c r="G38" s="183"/>
      <x:c r="H38" s="183"/>
    </x:row>
    <x:row r="39" ht="42" customHeight="1">
      <x:c r="A39" s="184" t="str">
        <x:v>012</x:v>
      </x:c>
      <x:c r="B39" s="184" t="str">
        <x:v>Yes - bổ sung standard/premium rules</x:v>
      </x:c>
      <x:c r="C39" s="184" t="str">
        <x:v>Yes</x:v>
      </x:c>
      <x:c r="D39" s="184" t="str">
        <x:v>Traceability notes</x:v>
      </x:c>
      <x:c r="E39" s="183"/>
      <x:c r="F39" s="183"/>
      <x:c r="G39" s="183"/>
      <x:c r="H39" s="183"/>
    </x:row>
    <x:row r="40">
      <x:c r="A40" s="183"/>
      <x:c r="B40" s="183"/>
      <x:c r="C40" s="183"/>
      <x:c r="D40" s="183"/>
      <x:c r="E40" s="183"/>
      <x:c r="F40" s="183"/>
      <x:c r="G40" s="183"/>
      <x:c r="H40" s="183"/>
    </x:row>
    <x:row r="41">
      <x:c r="A41" s="183"/>
      <x:c r="B41" s="183"/>
      <x:c r="C41" s="183"/>
      <x:c r="D41" s="183"/>
      <x:c r="E41" s="183"/>
      <x:c r="F41" s="183"/>
      <x:c r="G41" s="183"/>
      <x:c r="H41" s="183"/>
    </x:row>
    <x:row r="42">
      <x:c r="A42" s="183"/>
      <x:c r="B42" s="183"/>
      <x:c r="C42" s="183"/>
      <x:c r="D42" s="183"/>
      <x:c r="E42" s="183"/>
      <x:c r="F42" s="183"/>
      <x:c r="G42" s="183"/>
      <x:c r="H42" s="183"/>
    </x:row>
    <x:row r="43">
      <x:c r="A43" s="183"/>
      <x:c r="B43" s="183"/>
      <x:c r="C43" s="183"/>
      <x:c r="D43" s="183"/>
      <x:c r="E43" s="183"/>
      <x:c r="F43" s="183"/>
      <x:c r="G43" s="183"/>
      <x:c r="H43" s="183"/>
    </x:row>
    <x:row r="44">
      <x:c r="A44" s="183"/>
      <x:c r="B44" s="183"/>
      <x:c r="C44" s="183"/>
      <x:c r="D44" s="183"/>
      <x:c r="E44" s="183"/>
      <x:c r="F44" s="183"/>
      <x:c r="G44" s="183"/>
      <x:c r="H44" s="183"/>
    </x:row>
    <x:row r="45">
      <x:c r="A45" s="183"/>
      <x:c r="B45" s="183"/>
      <x:c r="C45" s="183"/>
      <x:c r="D45" s="183"/>
      <x:c r="E45" s="183"/>
      <x:c r="F45" s="183"/>
      <x:c r="G45" s="183"/>
      <x:c r="H45" s="183"/>
    </x:row>
    <x:row r="46">
      <x:c r="A46" s="183"/>
      <x:c r="B46" s="183"/>
      <x:c r="C46" s="183"/>
      <x:c r="D46" s="183"/>
      <x:c r="E46" s="183"/>
      <x:c r="F46" s="183"/>
      <x:c r="G46" s="183"/>
      <x:c r="H46" s="183"/>
    </x:row>
    <x:row r="47">
      <x:c r="A47" s="183"/>
      <x:c r="B47" s="183"/>
      <x:c r="C47" s="183"/>
      <x:c r="D47" s="183"/>
      <x:c r="E47" s="183"/>
      <x:c r="F47" s="183"/>
      <x:c r="G47" s="183"/>
      <x:c r="H47" s="183"/>
    </x:row>
    <x:row r="48">
      <x:c r="A48" s="183"/>
      <x:c r="B48" s="183"/>
      <x:c r="C48" s="183"/>
      <x:c r="D48" s="183"/>
      <x:c r="E48" s="183"/>
      <x:c r="F48" s="183"/>
      <x:c r="G48" s="183"/>
      <x:c r="H48" s="183"/>
    </x:row>
    <x:row r="49">
      <x:c r="A49" s="183"/>
      <x:c r="B49" s="183"/>
      <x:c r="C49" s="183"/>
      <x:c r="D49" s="183"/>
      <x:c r="E49" s="183"/>
      <x:c r="F49" s="183"/>
      <x:c r="G49" s="183"/>
      <x:c r="H49" s="183"/>
    </x:row>
    <x:row r="50">
      <x:c r="A50" s="183"/>
      <x:c r="B50" s="183"/>
      <x:c r="C50" s="183"/>
      <x:c r="D50" s="183"/>
      <x:c r="E50" s="183"/>
      <x:c r="F50" s="183"/>
      <x:c r="G50" s="183"/>
      <x:c r="H50" s="183"/>
    </x:row>
    <x:row r="51">
      <x:c r="A51" s="183"/>
      <x:c r="B51" s="183"/>
      <x:c r="C51" s="183"/>
      <x:c r="D51" s="183"/>
      <x:c r="E51" s="183"/>
      <x:c r="F51" s="183"/>
      <x:c r="G51" s="183"/>
      <x:c r="H51" s="183"/>
    </x:row>
    <x:row r="52">
      <x:c r="A52" s="183"/>
      <x:c r="B52" s="183"/>
      <x:c r="C52" s="183"/>
      <x:c r="D52" s="183"/>
      <x:c r="E52" s="183"/>
      <x:c r="F52" s="183"/>
      <x:c r="G52" s="183"/>
      <x:c r="H52" s="183"/>
    </x:row>
    <x:row r="53">
      <x:c r="A53" s="183"/>
      <x:c r="B53" s="183"/>
      <x:c r="C53" s="183"/>
      <x:c r="D53" s="183"/>
      <x:c r="E53" s="183"/>
      <x:c r="F53" s="183"/>
      <x:c r="G53" s="183"/>
      <x:c r="H53" s="183"/>
    </x:row>
    <x:row r="54">
      <x:c r="A54" s="183"/>
      <x:c r="B54" s="183"/>
      <x:c r="C54" s="183"/>
      <x:c r="D54" s="183"/>
      <x:c r="E54" s="183"/>
      <x:c r="F54" s="183"/>
      <x:c r="G54" s="183"/>
      <x:c r="H54" s="183"/>
    </x:row>
    <x:row r="55">
      <x:c r="A55" s="183"/>
      <x:c r="B55" s="183"/>
      <x:c r="C55" s="183"/>
      <x:c r="D55" s="183"/>
      <x:c r="E55" s="183"/>
      <x:c r="F55" s="183"/>
      <x:c r="G55" s="183"/>
      <x:c r="H55" s="183"/>
    </x:row>
    <x:row r="56">
      <x:c r="A56" s="183"/>
      <x:c r="B56" s="183"/>
      <x:c r="C56" s="183"/>
      <x:c r="D56" s="183"/>
      <x:c r="E56" s="183"/>
      <x:c r="F56" s="183"/>
      <x:c r="G56" s="183"/>
      <x:c r="H56" s="183"/>
    </x:row>
    <x:row r="57">
      <x:c r="A57" s="183"/>
      <x:c r="B57" s="183"/>
      <x:c r="C57" s="183"/>
      <x:c r="D57" s="183"/>
      <x:c r="E57" s="183"/>
      <x:c r="F57" s="183"/>
      <x:c r="G57" s="183"/>
      <x:c r="H57" s="183"/>
    </x:row>
    <x:row r="58">
      <x:c r="A58" s="183"/>
      <x:c r="B58" s="183"/>
      <x:c r="C58" s="183"/>
      <x:c r="D58" s="183"/>
      <x:c r="E58" s="183"/>
      <x:c r="F58" s="183"/>
      <x:c r="G58" s="183"/>
      <x:c r="H58" s="183"/>
    </x:row>
    <x:row r="59">
      <x:c r="A59" s="183"/>
      <x:c r="B59" s="183"/>
      <x:c r="C59" s="183"/>
      <x:c r="D59" s="183"/>
      <x:c r="E59" s="183"/>
      <x:c r="F59" s="183"/>
      <x:c r="G59" s="183"/>
      <x:c r="H59" s="183"/>
    </x:row>
    <x:row r="60">
      <x:c r="A60" s="183"/>
      <x:c r="B60" s="183"/>
      <x:c r="C60" s="183"/>
      <x:c r="D60" s="183"/>
      <x:c r="E60" s="183"/>
      <x:c r="F60" s="183"/>
      <x:c r="G60" s="183"/>
      <x:c r="H60" s="183"/>
    </x:row>
  </x:sheetData>
  <x:mergeCells>
    <x:mergeCell ref="A1:D1"/>
    <x:mergeCell ref="A2:D2"/>
  </x:mergeCells>
  <x:pageMargins left="0.7" right="0.7" top="0.75" bottom="0.75" header="0.3" footer="0.3"/>
</x:worksheet>
</file>